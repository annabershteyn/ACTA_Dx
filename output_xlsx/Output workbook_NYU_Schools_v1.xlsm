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drawings/drawing153.xml" ContentType="application/vnd.openxmlformats-officedocument.drawing+xml"/>
  <Override PartName="/xl/drawings/drawing154.xml" ContentType="application/vnd.openxmlformats-officedocument.drawing+xml"/>
  <Override PartName="/xl/drawings/drawing155.xml" ContentType="application/vnd.openxmlformats-officedocument.drawing+xml"/>
  <Override PartName="/xl/drawings/drawing156.xml" ContentType="application/vnd.openxmlformats-officedocument.drawing+xml"/>
  <Override PartName="/xl/drawings/drawing157.xml" ContentType="application/vnd.openxmlformats-officedocument.drawing+xml"/>
  <Override PartName="/xl/drawings/drawing158.xml" ContentType="application/vnd.openxmlformats-officedocument.drawing+xml"/>
  <Override PartName="/xl/drawings/drawing159.xml" ContentType="application/vnd.openxmlformats-officedocument.drawing+xml"/>
  <Override PartName="/xl/drawings/drawing160.xml" ContentType="application/vnd.openxmlformats-officedocument.drawing+xml"/>
  <Override PartName="/xl/drawings/drawing161.xml" ContentType="application/vnd.openxmlformats-officedocument.drawing+xml"/>
  <Override PartName="/xl/drawings/drawing162.xml" ContentType="application/vnd.openxmlformats-officedocument.drawing+xml"/>
  <Override PartName="/xl/drawings/drawing163.xml" ContentType="application/vnd.openxmlformats-officedocument.drawing+xml"/>
  <Override PartName="/xl/drawings/drawing164.xml" ContentType="application/vnd.openxmlformats-officedocument.drawing+xml"/>
  <Override PartName="/xl/drawings/drawing165.xml" ContentType="application/vnd.openxmlformats-officedocument.drawing+xml"/>
  <Override PartName="/xl/drawings/drawing166.xml" ContentType="application/vnd.openxmlformats-officedocument.drawing+xml"/>
  <Override PartName="/xl/drawings/drawing167.xml" ContentType="application/vnd.openxmlformats-officedocument.drawing+xml"/>
  <Override PartName="/xl/drawings/drawing168.xml" ContentType="application/vnd.openxmlformats-officedocument.drawing+xml"/>
  <Override PartName="/xl/drawings/drawing169.xml" ContentType="application/vnd.openxmlformats-officedocument.drawing+xml"/>
  <Override PartName="/xl/drawings/drawing170.xml" ContentType="application/vnd.openxmlformats-officedocument.drawing+xml"/>
  <Override PartName="/xl/drawings/drawing171.xml" ContentType="application/vnd.openxmlformats-officedocument.drawing+xml"/>
  <Override PartName="/xl/drawings/drawing172.xml" ContentType="application/vnd.openxmlformats-officedocument.drawing+xml"/>
  <Override PartName="/xl/drawings/drawing173.xml" ContentType="application/vnd.openxmlformats-officedocument.drawing+xml"/>
  <Override PartName="/xl/drawings/drawing174.xml" ContentType="application/vnd.openxmlformats-officedocument.drawing+xml"/>
  <Override PartName="/xl/drawings/drawing175.xml" ContentType="application/vnd.openxmlformats-officedocument.drawing+xml"/>
  <Override PartName="/xl/drawings/drawing176.xml" ContentType="application/vnd.openxmlformats-officedocument.drawing+xml"/>
  <Override PartName="/xl/drawings/drawing177.xml" ContentType="application/vnd.openxmlformats-officedocument.drawing+xml"/>
  <Override PartName="/xl/drawings/drawing178.xml" ContentType="application/vnd.openxmlformats-officedocument.drawing+xml"/>
  <Override PartName="/xl/drawings/drawing179.xml" ContentType="application/vnd.openxmlformats-officedocument.drawing+xml"/>
  <Override PartName="/xl/drawings/drawing180.xml" ContentType="application/vnd.openxmlformats-officedocument.drawing+xml"/>
  <Override PartName="/xl/drawings/drawing181.xml" ContentType="application/vnd.openxmlformats-officedocument.drawing+xml"/>
  <Override PartName="/xl/drawings/drawing182.xml" ContentType="application/vnd.openxmlformats-officedocument.drawing+xml"/>
  <Override PartName="/xl/drawings/drawing183.xml" ContentType="application/vnd.openxmlformats-officedocument.drawing+xml"/>
  <Override PartName="/xl/drawings/drawing184.xml" ContentType="application/vnd.openxmlformats-officedocument.drawing+xml"/>
  <Override PartName="/xl/drawings/drawing185.xml" ContentType="application/vnd.openxmlformats-officedocument.drawing+xml"/>
  <Override PartName="/xl/drawings/drawing186.xml" ContentType="application/vnd.openxmlformats-officedocument.drawing+xml"/>
  <Override PartName="/xl/drawings/drawing187.xml" ContentType="application/vnd.openxmlformats-officedocument.drawing+xml"/>
  <Override PartName="/xl/drawings/drawing188.xml" ContentType="application/vnd.openxmlformats-officedocument.drawing+xml"/>
  <Override PartName="/xl/drawings/drawing189.xml" ContentType="application/vnd.openxmlformats-officedocument.drawing+xml"/>
  <Override PartName="/xl/drawings/drawing190.xml" ContentType="application/vnd.openxmlformats-officedocument.drawing+xml"/>
  <Override PartName="/xl/drawings/drawing191.xml" ContentType="application/vnd.openxmlformats-officedocument.drawing+xml"/>
  <Override PartName="/xl/drawings/drawing192.xml" ContentType="application/vnd.openxmlformats-officedocument.drawing+xml"/>
  <Override PartName="/xl/drawings/drawing193.xml" ContentType="application/vnd.openxmlformats-officedocument.drawing+xml"/>
  <Override PartName="/xl/drawings/drawing194.xml" ContentType="application/vnd.openxmlformats-officedocument.drawing+xml"/>
  <Override PartName="/xl/drawings/drawing195.xml" ContentType="application/vnd.openxmlformats-officedocument.drawing+xml"/>
  <Override PartName="/xl/drawings/drawing196.xml" ContentType="application/vnd.openxmlformats-officedocument.drawing+xml"/>
  <Override PartName="/xl/drawings/drawing197.xml" ContentType="application/vnd.openxmlformats-officedocument.drawing+xml"/>
  <Override PartName="/xl/drawings/drawing198.xml" ContentType="application/vnd.openxmlformats-officedocument.drawing+xml"/>
  <Override PartName="/xl/drawings/drawing199.xml" ContentType="application/vnd.openxmlformats-officedocument.drawing+xml"/>
  <Override PartName="/xl/drawings/drawing200.xml" ContentType="application/vnd.openxmlformats-officedocument.drawing+xml"/>
  <Override PartName="/xl/drawings/drawing201.xml" ContentType="application/vnd.openxmlformats-officedocument.drawing+xml"/>
  <Override PartName="/xl/drawings/drawing202.xml" ContentType="application/vnd.openxmlformats-officedocument.drawing+xml"/>
  <Override PartName="/xl/drawings/drawing203.xml" ContentType="application/vnd.openxmlformats-officedocument.drawing+xml"/>
  <Override PartName="/xl/drawings/drawing204.xml" ContentType="application/vnd.openxmlformats-officedocument.drawing+xml"/>
  <Override PartName="/xl/drawings/drawing205.xml" ContentType="application/vnd.openxmlformats-officedocument.drawing+xml"/>
  <Override PartName="/xl/drawings/drawing206.xml" ContentType="application/vnd.openxmlformats-officedocument.drawing+xml"/>
  <Override PartName="/xl/drawings/drawing207.xml" ContentType="application/vnd.openxmlformats-officedocument.drawing+xml"/>
  <Override PartName="/xl/drawings/drawing208.xml" ContentType="application/vnd.openxmlformats-officedocument.drawing+xml"/>
  <Override PartName="/xl/drawings/drawing209.xml" ContentType="application/vnd.openxmlformats-officedocument.drawing+xml"/>
  <Override PartName="/xl/drawings/drawing210.xml" ContentType="application/vnd.openxmlformats-officedocument.drawing+xml"/>
  <Override PartName="/xl/drawings/drawing211.xml" ContentType="application/vnd.openxmlformats-officedocument.drawing+xml"/>
  <Override PartName="/xl/drawings/drawing212.xml" ContentType="application/vnd.openxmlformats-officedocument.drawing+xml"/>
  <Override PartName="/xl/drawings/drawing213.xml" ContentType="application/vnd.openxmlformats-officedocument.drawing+xml"/>
  <Override PartName="/xl/drawings/drawing214.xml" ContentType="application/vnd.openxmlformats-officedocument.drawing+xml"/>
  <Override PartName="/xl/drawings/drawing215.xml" ContentType="application/vnd.openxmlformats-officedocument.drawing+xml"/>
  <Override PartName="/xl/drawings/drawing216.xml" ContentType="application/vnd.openxmlformats-officedocument.drawing+xml"/>
  <Override PartName="/xl/drawings/drawing2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BE1CDB9-6C1C-A5B6-3FC1-E231EC3C600E}"/>
  <workbookPr codeName="ThisWorkbook"/>
  <mc:AlternateContent xmlns:mc="http://schemas.openxmlformats.org/markup-compatibility/2006">
    <mc:Choice Requires="x15">
      <x15ac:absPath xmlns:x15ac="http://schemas.microsoft.com/office/spreadsheetml/2010/11/ac" url="E:\research\coronavirus2019\ACTA_Dx\20210512_template_schools\"/>
    </mc:Choice>
  </mc:AlternateContent>
  <bookViews>
    <workbookView xWindow="1725" yWindow="465" windowWidth="19875" windowHeight="10380"/>
  </bookViews>
  <sheets>
    <sheet name="Scenarios" sheetId="2" r:id="rId1"/>
    <sheet name="Scenario 1" sheetId="1" r:id="rId2"/>
    <sheet name="Scenario 2" sheetId="3" r:id="rId3"/>
    <sheet name="Scenario 3" sheetId="4" r:id="rId4"/>
    <sheet name="Scenario 4" sheetId="5" r:id="rId5"/>
    <sheet name="Scenario 5" sheetId="6" r:id="rId6"/>
    <sheet name="Scenario 6" sheetId="7" r:id="rId7"/>
    <sheet name="Scenario 7" sheetId="8" r:id="rId8"/>
    <sheet name="Scenario 8" sheetId="9" r:id="rId9"/>
    <sheet name="Scenario 9" sheetId="10" r:id="rId10"/>
    <sheet name="Scenario 10" sheetId="11" r:id="rId11"/>
    <sheet name="Scenario 11" sheetId="12" r:id="rId12"/>
    <sheet name="Scenario 12" sheetId="13" r:id="rId13"/>
    <sheet name="Scenario 13" sheetId="14" r:id="rId14"/>
    <sheet name="Scenario 14" sheetId="15" r:id="rId15"/>
    <sheet name="Scenario 15" sheetId="16" r:id="rId16"/>
    <sheet name="Scenario 16" sheetId="17" r:id="rId17"/>
    <sheet name="Scenario 17" sheetId="18" r:id="rId18"/>
    <sheet name="Scenario 18" sheetId="19" r:id="rId19"/>
    <sheet name="Scenario 19" sheetId="20" r:id="rId20"/>
    <sheet name="Scenario 20" sheetId="21" r:id="rId21"/>
    <sheet name="Scenario 21" sheetId="22" r:id="rId22"/>
    <sheet name="Scenario 22" sheetId="23" r:id="rId23"/>
    <sheet name="Scenario 23" sheetId="24" r:id="rId24"/>
    <sheet name="Scenario 24" sheetId="25" r:id="rId25"/>
    <sheet name="Scenario 25" sheetId="26" r:id="rId26"/>
    <sheet name="Scenario 26" sheetId="27" r:id="rId27"/>
    <sheet name="Scenario 27" sheetId="28" r:id="rId28"/>
    <sheet name="Scenario 28" sheetId="29" r:id="rId29"/>
    <sheet name="Scenario 29" sheetId="30" r:id="rId30"/>
    <sheet name="Scenario 30" sheetId="31" r:id="rId31"/>
    <sheet name="Scenario 31" sheetId="32" r:id="rId32"/>
    <sheet name="Scenario 32" sheetId="33" r:id="rId33"/>
    <sheet name="Scenario 33" sheetId="34" r:id="rId34"/>
    <sheet name="Scenario 34" sheetId="35" r:id="rId35"/>
    <sheet name="Scenario 35" sheetId="36" r:id="rId36"/>
    <sheet name="Scenario 36" sheetId="37" r:id="rId37"/>
    <sheet name="Scenario 37" sheetId="38" r:id="rId38"/>
    <sheet name="Scenario 38" sheetId="39" r:id="rId39"/>
    <sheet name="Scenario 39" sheetId="40" r:id="rId40"/>
    <sheet name="Scenario 40" sheetId="41" r:id="rId41"/>
    <sheet name="Scenario 41" sheetId="42" r:id="rId42"/>
    <sheet name="Scenario 42" sheetId="43" r:id="rId43"/>
    <sheet name="Scenario 43" sheetId="44" r:id="rId44"/>
    <sheet name="Scenario 44" sheetId="45" r:id="rId45"/>
    <sheet name="Scenario 45" sheetId="46" r:id="rId46"/>
    <sheet name="Scenario 46" sheetId="47" r:id="rId47"/>
    <sheet name="Scenario 47" sheetId="48" r:id="rId48"/>
    <sheet name="Scenario 48" sheetId="49" r:id="rId49"/>
    <sheet name="Scenario 49" sheetId="50" r:id="rId50"/>
    <sheet name="Scenario 50" sheetId="51" r:id="rId51"/>
    <sheet name="Scenario 51" sheetId="52" r:id="rId52"/>
    <sheet name="Scenario 52" sheetId="53" r:id="rId53"/>
    <sheet name="Scenario 53" sheetId="54" r:id="rId54"/>
    <sheet name="Scenario 54" sheetId="55" r:id="rId55"/>
    <sheet name="Scenario 55" sheetId="60" r:id="rId56"/>
    <sheet name="Scenario 56" sheetId="59" r:id="rId57"/>
    <sheet name="Scenario 57" sheetId="58" r:id="rId58"/>
    <sheet name="Scenario 58" sheetId="57" r:id="rId59"/>
    <sheet name="Scenario 59" sheetId="56" r:id="rId60"/>
    <sheet name="Scenario 60" sheetId="61" r:id="rId61"/>
    <sheet name="Scenario 61" sheetId="62" r:id="rId62"/>
    <sheet name="Scenario 62" sheetId="63" r:id="rId63"/>
    <sheet name="Scenario 63" sheetId="64" r:id="rId64"/>
    <sheet name="Scenario 64" sheetId="65" r:id="rId65"/>
    <sheet name="Scenario 65" sheetId="66" r:id="rId66"/>
    <sheet name="Scenario 66" sheetId="67" r:id="rId67"/>
    <sheet name="Scenario 67" sheetId="68" r:id="rId68"/>
    <sheet name="Scenario 68" sheetId="69" r:id="rId69"/>
    <sheet name="Scenario 69" sheetId="70" r:id="rId70"/>
    <sheet name="Scenario 70" sheetId="71" r:id="rId71"/>
    <sheet name="Scenario 71" sheetId="72" r:id="rId72"/>
    <sheet name="Scenario 72" sheetId="73" r:id="rId73"/>
    <sheet name="Scenario 73" sheetId="74" r:id="rId74"/>
    <sheet name="Scenario 74" sheetId="75" r:id="rId75"/>
    <sheet name="Scenario 75" sheetId="82" r:id="rId76"/>
    <sheet name="Scenario 76" sheetId="83" r:id="rId77"/>
    <sheet name="Scenario 77" sheetId="84" r:id="rId78"/>
    <sheet name="Scenario 78" sheetId="85" r:id="rId79"/>
    <sheet name="Scenario 79" sheetId="86" r:id="rId80"/>
    <sheet name="Scenario 80" sheetId="87" r:id="rId81"/>
    <sheet name="Scenario 81" sheetId="88" r:id="rId82"/>
    <sheet name="Scenario 82" sheetId="89" r:id="rId83"/>
    <sheet name="Scenario 83" sheetId="90" r:id="rId84"/>
    <sheet name="Scenario 84" sheetId="91" r:id="rId85"/>
    <sheet name="Scenario 85" sheetId="92" r:id="rId86"/>
    <sheet name="Scenario 86" sheetId="93" r:id="rId87"/>
    <sheet name="Scenario 87" sheetId="94" r:id="rId88"/>
    <sheet name="Scenario 88" sheetId="76" r:id="rId89"/>
    <sheet name="Scenario 89" sheetId="77" r:id="rId90"/>
    <sheet name="Scenario 90" sheetId="78" r:id="rId91"/>
    <sheet name="Scenario 91" sheetId="79" r:id="rId92"/>
    <sheet name="Scenario 92" sheetId="80" r:id="rId93"/>
    <sheet name="Scenario 93" sheetId="81" r:id="rId94"/>
    <sheet name="Scenario 94" sheetId="95" r:id="rId95"/>
    <sheet name="Scenario 95" sheetId="96" r:id="rId96"/>
    <sheet name="Scenario 96" sheetId="97" r:id="rId97"/>
    <sheet name="Scenario 97" sheetId="98" r:id="rId98"/>
    <sheet name="Scenario 98" sheetId="99" r:id="rId99"/>
    <sheet name="Scenario 99" sheetId="100" r:id="rId100"/>
    <sheet name="Scenario 100" sheetId="101" r:id="rId101"/>
    <sheet name="Scenario 101" sheetId="102" r:id="rId102"/>
    <sheet name="Scenario 102" sheetId="103" r:id="rId103"/>
    <sheet name="Scenario 103" sheetId="104" r:id="rId104"/>
    <sheet name="Scenario 104" sheetId="105" r:id="rId105"/>
    <sheet name="Scenario 105" sheetId="106" r:id="rId106"/>
    <sheet name="Scenario 106" sheetId="107" r:id="rId107"/>
    <sheet name="Scenario 107" sheetId="108" r:id="rId108"/>
    <sheet name="Scenario 108" sheetId="109" r:id="rId109"/>
    <sheet name="Scenario 109" sheetId="110" r:id="rId110"/>
    <sheet name="Scenario 110" sheetId="111" r:id="rId111"/>
    <sheet name="Scenario 111" sheetId="112" r:id="rId112"/>
    <sheet name="Scenario 112" sheetId="113" r:id="rId113"/>
    <sheet name="Scenario 113" sheetId="114" r:id="rId114"/>
    <sheet name="Scenario 114" sheetId="115" r:id="rId115"/>
    <sheet name="Scenario 115" sheetId="116" r:id="rId116"/>
    <sheet name="Scenario 116" sheetId="117" r:id="rId117"/>
    <sheet name="Scenario 117" sheetId="118" r:id="rId118"/>
    <sheet name="Scenario 118" sheetId="119" r:id="rId119"/>
    <sheet name="Scenario 119" sheetId="120" r:id="rId120"/>
    <sheet name="Scenario 120" sheetId="121" r:id="rId121"/>
    <sheet name="Scenario 121" sheetId="122" r:id="rId122"/>
    <sheet name="Scenario 122" sheetId="123" r:id="rId123"/>
    <sheet name="Scenario 123" sheetId="124" r:id="rId124"/>
    <sheet name="Scenario 124" sheetId="125" r:id="rId125"/>
    <sheet name="Scenario 125" sheetId="126" r:id="rId126"/>
    <sheet name="Scenario 126" sheetId="127" r:id="rId127"/>
    <sheet name="Scenario 127" sheetId="128" r:id="rId128"/>
    <sheet name="Scenario 128" sheetId="129" r:id="rId129"/>
    <sheet name="Scenario 129" sheetId="130" r:id="rId130"/>
    <sheet name="Scenario 130" sheetId="131" r:id="rId131"/>
    <sheet name="Scenario 131" sheetId="132" r:id="rId132"/>
    <sheet name="Scenario 132" sheetId="133" r:id="rId133"/>
    <sheet name="Scenario 133" sheetId="134" r:id="rId134"/>
    <sheet name="Scenario 134" sheetId="135" r:id="rId135"/>
    <sheet name="Scenario 135" sheetId="136" r:id="rId136"/>
    <sheet name="Scenario 136" sheetId="137" r:id="rId137"/>
    <sheet name="Scenario 137" sheetId="138" r:id="rId138"/>
    <sheet name="Scenario 138" sheetId="139" r:id="rId139"/>
    <sheet name="Scenario 139" sheetId="140" r:id="rId140"/>
    <sheet name="Scenario 140" sheetId="141" r:id="rId141"/>
    <sheet name="Scenario 141" sheetId="142" r:id="rId142"/>
    <sheet name="Scenario 142" sheetId="143" r:id="rId143"/>
    <sheet name="Scenario 143" sheetId="144" r:id="rId144"/>
    <sheet name="Scenario 144" sheetId="145" r:id="rId145"/>
    <sheet name="Scenario 145" sheetId="146" r:id="rId146"/>
    <sheet name="Scenario 146" sheetId="147" r:id="rId147"/>
    <sheet name="Scenario 147" sheetId="148" r:id="rId148"/>
    <sheet name="Scenario 148" sheetId="149" r:id="rId149"/>
    <sheet name="Scenario 149" sheetId="150" r:id="rId150"/>
    <sheet name="Scenario 150" sheetId="151" r:id="rId151"/>
    <sheet name="Scenario 151" sheetId="152" r:id="rId152"/>
    <sheet name="Scenario 152" sheetId="153" r:id="rId153"/>
    <sheet name="Scenario 153" sheetId="154" r:id="rId154"/>
    <sheet name="Scenario 154" sheetId="155" r:id="rId155"/>
    <sheet name="Scenario 155" sheetId="156" r:id="rId156"/>
    <sheet name="Scenario 156" sheetId="157" r:id="rId157"/>
    <sheet name="Scenario 157" sheetId="158" r:id="rId158"/>
    <sheet name="Scenario 158" sheetId="159" r:id="rId159"/>
    <sheet name="Scenario 159" sheetId="160" r:id="rId160"/>
    <sheet name="Scenario 160" sheetId="161" r:id="rId161"/>
    <sheet name="Scenario 161" sheetId="162" r:id="rId162"/>
    <sheet name="Scenario 162" sheetId="163" r:id="rId163"/>
    <sheet name="Scenario 163" sheetId="164" r:id="rId164"/>
    <sheet name="Scenario 164" sheetId="165" r:id="rId165"/>
    <sheet name="Scenario 165" sheetId="166" r:id="rId166"/>
    <sheet name="Scenario 166" sheetId="167" r:id="rId167"/>
    <sheet name="Scenario 167" sheetId="168" r:id="rId168"/>
    <sheet name="Scenario 168" sheetId="169" r:id="rId169"/>
    <sheet name="Scenario 169" sheetId="170" r:id="rId170"/>
    <sheet name="Scenario 170" sheetId="171" r:id="rId171"/>
    <sheet name="Scenario 171" sheetId="172" r:id="rId172"/>
    <sheet name="Scenario 172" sheetId="173" r:id="rId173"/>
    <sheet name="Scenario 173" sheetId="174" r:id="rId174"/>
    <sheet name="Scenario 174" sheetId="175" r:id="rId175"/>
    <sheet name="Scenario 175" sheetId="176" r:id="rId176"/>
    <sheet name="Scenario 176" sheetId="177" r:id="rId177"/>
    <sheet name="Scenario 177" sheetId="178" r:id="rId178"/>
    <sheet name="Scenario 178" sheetId="179" r:id="rId179"/>
    <sheet name="Scenario 179" sheetId="180" r:id="rId180"/>
    <sheet name="Scenario 180" sheetId="181" r:id="rId181"/>
    <sheet name="Scenario 181" sheetId="182" r:id="rId182"/>
    <sheet name="Scenario 182" sheetId="183" r:id="rId183"/>
    <sheet name="Scenario 183" sheetId="184" r:id="rId184"/>
    <sheet name="Scenario 184" sheetId="185" r:id="rId185"/>
    <sheet name="Scenario 185" sheetId="186" r:id="rId186"/>
    <sheet name="Scenario 186" sheetId="187" r:id="rId187"/>
    <sheet name="Scenario 187" sheetId="188" r:id="rId188"/>
    <sheet name="Scenario 188" sheetId="189" r:id="rId189"/>
    <sheet name="Scenario 189" sheetId="190" r:id="rId190"/>
    <sheet name="Scenario 190" sheetId="191" r:id="rId191"/>
    <sheet name="Scenario 191" sheetId="192" r:id="rId192"/>
    <sheet name="Scenario 192" sheetId="193" r:id="rId193"/>
    <sheet name="Scenario 193" sheetId="194" r:id="rId194"/>
    <sheet name="Scenario 194" sheetId="195" r:id="rId195"/>
    <sheet name="Scenario 195" sheetId="196" r:id="rId196"/>
    <sheet name="Scenario 196" sheetId="197" r:id="rId197"/>
    <sheet name="Scenario 197" sheetId="198" r:id="rId198"/>
    <sheet name="Scenario 198" sheetId="199" r:id="rId199"/>
    <sheet name="Scenario 199" sheetId="200" r:id="rId200"/>
    <sheet name="Scenario 200" sheetId="201" r:id="rId201"/>
    <sheet name="Scenario 201" sheetId="202" r:id="rId202"/>
    <sheet name="Scenario 202" sheetId="203" r:id="rId203"/>
    <sheet name="Scenario 203" sheetId="204" r:id="rId204"/>
    <sheet name="Scenario 204" sheetId="205" r:id="rId205"/>
    <sheet name="Scenario 205" sheetId="206" r:id="rId206"/>
    <sheet name="Scenario 206" sheetId="207" r:id="rId207"/>
    <sheet name="Scenario 207" sheetId="208" r:id="rId208"/>
    <sheet name="Scenario 208" sheetId="209" r:id="rId209"/>
    <sheet name="Scenario 209" sheetId="210" r:id="rId210"/>
    <sheet name="Scenario 210" sheetId="211" r:id="rId211"/>
    <sheet name="Scenario 211" sheetId="212" r:id="rId212"/>
    <sheet name="Scenario 212" sheetId="213" r:id="rId213"/>
    <sheet name="Scenario 213" sheetId="214" r:id="rId214"/>
    <sheet name="Scenario 214" sheetId="215" r:id="rId215"/>
    <sheet name="Scenario 215" sheetId="216" r:id="rId216"/>
    <sheet name="Scenario 216" sheetId="217" r:id="rId21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2" i="2" l="1"/>
  <c r="L21" i="2"/>
  <c r="L20" i="2"/>
  <c r="L19" i="2"/>
  <c r="L18" i="2"/>
  <c r="L17" i="2"/>
  <c r="L16" i="2"/>
  <c r="K15" i="2"/>
  <c r="K14" i="2"/>
  <c r="K13" i="2"/>
  <c r="K12" i="2"/>
  <c r="K11" i="2"/>
  <c r="K10" i="2"/>
  <c r="L15" i="2"/>
  <c r="L14" i="2"/>
  <c r="L13" i="2"/>
  <c r="L12" i="2"/>
  <c r="L11" i="2"/>
  <c r="L10" i="2"/>
  <c r="B218" i="2" l="1"/>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F2" i="217"/>
  <c r="E2" i="217"/>
  <c r="D2" i="217"/>
  <c r="C2" i="217"/>
  <c r="B2" i="217"/>
  <c r="F2" i="216"/>
  <c r="E2" i="216"/>
  <c r="D2" i="216"/>
  <c r="C2" i="216"/>
  <c r="B2" i="216"/>
  <c r="F2" i="215"/>
  <c r="E2" i="215"/>
  <c r="D2" i="215"/>
  <c r="C2" i="215"/>
  <c r="B2" i="215"/>
  <c r="F2" i="214"/>
  <c r="E2" i="214"/>
  <c r="D2" i="214"/>
  <c r="C2" i="214"/>
  <c r="B2" i="214"/>
  <c r="F2" i="213"/>
  <c r="E2" i="213"/>
  <c r="D2" i="213"/>
  <c r="C2" i="213"/>
  <c r="B2" i="213"/>
  <c r="F2" i="212"/>
  <c r="E2" i="212"/>
  <c r="D2" i="212"/>
  <c r="C2" i="212"/>
  <c r="B2" i="212"/>
  <c r="F2" i="211"/>
  <c r="E2" i="211"/>
  <c r="D2" i="211"/>
  <c r="C2" i="211"/>
  <c r="B2" i="211"/>
  <c r="F2" i="210"/>
  <c r="E2" i="210"/>
  <c r="D2" i="210"/>
  <c r="C2" i="210"/>
  <c r="B2" i="210"/>
  <c r="F2" i="209"/>
  <c r="E2" i="209"/>
  <c r="D2" i="209"/>
  <c r="C2" i="209"/>
  <c r="B2" i="209"/>
  <c r="F2" i="208"/>
  <c r="E2" i="208"/>
  <c r="D2" i="208"/>
  <c r="C2" i="208"/>
  <c r="B2" i="208"/>
  <c r="F2" i="207"/>
  <c r="E2" i="207"/>
  <c r="D2" i="207"/>
  <c r="C2" i="207"/>
  <c r="B2" i="207"/>
  <c r="F2" i="206"/>
  <c r="E2" i="206"/>
  <c r="D2" i="206"/>
  <c r="C2" i="206"/>
  <c r="B2" i="206"/>
  <c r="F2" i="205"/>
  <c r="E2" i="205"/>
  <c r="D2" i="205"/>
  <c r="C2" i="205"/>
  <c r="B2" i="205"/>
  <c r="F2" i="204"/>
  <c r="E2" i="204"/>
  <c r="D2" i="204"/>
  <c r="C2" i="204"/>
  <c r="B2" i="204"/>
  <c r="F2" i="203"/>
  <c r="E2" i="203"/>
  <c r="D2" i="203"/>
  <c r="C2" i="203"/>
  <c r="B2" i="203"/>
  <c r="F2" i="202"/>
  <c r="E2" i="202"/>
  <c r="D2" i="202"/>
  <c r="C2" i="202"/>
  <c r="B2" i="202"/>
  <c r="F2" i="201"/>
  <c r="E2" i="201"/>
  <c r="D2" i="201"/>
  <c r="C2" i="201"/>
  <c r="B2" i="201"/>
  <c r="F2" i="200"/>
  <c r="E2" i="200"/>
  <c r="D2" i="200"/>
  <c r="C2" i="200"/>
  <c r="B2" i="200"/>
  <c r="F2" i="199"/>
  <c r="E2" i="199"/>
  <c r="D2" i="199"/>
  <c r="C2" i="199"/>
  <c r="B2" i="199"/>
  <c r="F2" i="198"/>
  <c r="E2" i="198"/>
  <c r="D2" i="198"/>
  <c r="C2" i="198"/>
  <c r="B2" i="198"/>
  <c r="F2" i="197"/>
  <c r="E2" i="197"/>
  <c r="D2" i="197"/>
  <c r="C2" i="197"/>
  <c r="B2" i="197"/>
  <c r="F2" i="196"/>
  <c r="E2" i="196"/>
  <c r="D2" i="196"/>
  <c r="C2" i="196"/>
  <c r="B2" i="196"/>
  <c r="F2" i="195"/>
  <c r="E2" i="195"/>
  <c r="D2" i="195"/>
  <c r="C2" i="195"/>
  <c r="B2" i="195"/>
  <c r="F2" i="194"/>
  <c r="E2" i="194"/>
  <c r="D2" i="194"/>
  <c r="C2" i="194"/>
  <c r="B2" i="194"/>
  <c r="F2" i="193"/>
  <c r="E2" i="193"/>
  <c r="D2" i="193"/>
  <c r="C2" i="193"/>
  <c r="B2" i="193"/>
  <c r="F2" i="192"/>
  <c r="E2" i="192"/>
  <c r="D2" i="192"/>
  <c r="C2" i="192"/>
  <c r="B2" i="192"/>
  <c r="F2" i="191"/>
  <c r="E2" i="191"/>
  <c r="D2" i="191"/>
  <c r="C2" i="191"/>
  <c r="B2" i="191"/>
  <c r="F2" i="190"/>
  <c r="E2" i="190"/>
  <c r="D2" i="190"/>
  <c r="C2" i="190"/>
  <c r="B2" i="190"/>
  <c r="F2" i="189"/>
  <c r="E2" i="189"/>
  <c r="D2" i="189"/>
  <c r="C2" i="189"/>
  <c r="B2" i="189"/>
  <c r="F2" i="188"/>
  <c r="E2" i="188"/>
  <c r="D2" i="188"/>
  <c r="C2" i="188"/>
  <c r="B2" i="188"/>
  <c r="F2" i="187"/>
  <c r="E2" i="187"/>
  <c r="D2" i="187"/>
  <c r="C2" i="187"/>
  <c r="B2" i="187"/>
  <c r="F2" i="186"/>
  <c r="E2" i="186"/>
  <c r="D2" i="186"/>
  <c r="C2" i="186"/>
  <c r="B2" i="186"/>
  <c r="F2" i="185"/>
  <c r="E2" i="185"/>
  <c r="D2" i="185"/>
  <c r="C2" i="185"/>
  <c r="B2" i="185"/>
  <c r="F2" i="184"/>
  <c r="E2" i="184"/>
  <c r="D2" i="184"/>
  <c r="C2" i="184"/>
  <c r="B2" i="184"/>
  <c r="F2" i="183"/>
  <c r="E2" i="183"/>
  <c r="D2" i="183"/>
  <c r="C2" i="183"/>
  <c r="B2" i="183"/>
  <c r="F2" i="182"/>
  <c r="E2" i="182"/>
  <c r="D2" i="182"/>
  <c r="C2" i="182"/>
  <c r="B2" i="182"/>
  <c r="F2" i="181"/>
  <c r="E2" i="181"/>
  <c r="D2" i="181"/>
  <c r="C2" i="181"/>
  <c r="B2" i="181"/>
  <c r="F2" i="180"/>
  <c r="E2" i="180"/>
  <c r="D2" i="180"/>
  <c r="C2" i="180"/>
  <c r="B2" i="180"/>
  <c r="F2" i="179"/>
  <c r="E2" i="179"/>
  <c r="D2" i="179"/>
  <c r="C2" i="179"/>
  <c r="B2" i="179"/>
  <c r="F2" i="178"/>
  <c r="E2" i="178"/>
  <c r="D2" i="178"/>
  <c r="C2" i="178"/>
  <c r="B2" i="178"/>
  <c r="F2" i="177"/>
  <c r="E2" i="177"/>
  <c r="D2" i="177"/>
  <c r="C2" i="177"/>
  <c r="B2" i="177"/>
  <c r="F2" i="176"/>
  <c r="E2" i="176"/>
  <c r="D2" i="176"/>
  <c r="C2" i="176"/>
  <c r="B2" i="176"/>
  <c r="F2" i="175"/>
  <c r="E2" i="175"/>
  <c r="D2" i="175"/>
  <c r="C2" i="175"/>
  <c r="B2" i="175"/>
  <c r="F2" i="174"/>
  <c r="E2" i="174"/>
  <c r="D2" i="174"/>
  <c r="C2" i="174"/>
  <c r="B2" i="174"/>
  <c r="F2" i="173"/>
  <c r="E2" i="173"/>
  <c r="D2" i="173"/>
  <c r="C2" i="173"/>
  <c r="B2" i="173"/>
  <c r="F2" i="172"/>
  <c r="E2" i="172"/>
  <c r="D2" i="172"/>
  <c r="C2" i="172"/>
  <c r="B2" i="172"/>
  <c r="F2" i="171"/>
  <c r="E2" i="171"/>
  <c r="D2" i="171"/>
  <c r="C2" i="171"/>
  <c r="B2" i="171"/>
  <c r="F2" i="170"/>
  <c r="E2" i="170"/>
  <c r="D2" i="170"/>
  <c r="C2" i="170"/>
  <c r="B2" i="170"/>
  <c r="F2" i="169"/>
  <c r="E2" i="169"/>
  <c r="D2" i="169"/>
  <c r="C2" i="169"/>
  <c r="B2" i="169"/>
  <c r="F2" i="168"/>
  <c r="E2" i="168"/>
  <c r="D2" i="168"/>
  <c r="C2" i="168"/>
  <c r="B2" i="168"/>
  <c r="F2" i="167"/>
  <c r="E2" i="167"/>
  <c r="D2" i="167"/>
  <c r="C2" i="167"/>
  <c r="B2" i="167"/>
  <c r="F2" i="166"/>
  <c r="E2" i="166"/>
  <c r="D2" i="166"/>
  <c r="C2" i="166"/>
  <c r="B2" i="166"/>
  <c r="F2" i="165"/>
  <c r="E2" i="165"/>
  <c r="D2" i="165"/>
  <c r="C2" i="165"/>
  <c r="B2" i="165"/>
  <c r="F2" i="164"/>
  <c r="E2" i="164"/>
  <c r="D2" i="164"/>
  <c r="C2" i="164"/>
  <c r="B2" i="164"/>
  <c r="F2" i="163"/>
  <c r="E2" i="163"/>
  <c r="D2" i="163"/>
  <c r="C2" i="163"/>
  <c r="B2" i="163"/>
  <c r="F2" i="162"/>
  <c r="E2" i="162"/>
  <c r="D2" i="162"/>
  <c r="C2" i="162"/>
  <c r="B2" i="162"/>
  <c r="F2" i="161"/>
  <c r="E2" i="161"/>
  <c r="D2" i="161"/>
  <c r="C2" i="161"/>
  <c r="B2" i="161"/>
  <c r="F2" i="160"/>
  <c r="E2" i="160"/>
  <c r="D2" i="160"/>
  <c r="C2" i="160"/>
  <c r="B2" i="160"/>
  <c r="F2" i="159"/>
  <c r="E2" i="159"/>
  <c r="D2" i="159"/>
  <c r="C2" i="159"/>
  <c r="B2" i="159"/>
  <c r="F2" i="158"/>
  <c r="E2" i="158"/>
  <c r="D2" i="158"/>
  <c r="C2" i="158"/>
  <c r="B2" i="158"/>
  <c r="F2" i="157"/>
  <c r="E2" i="157"/>
  <c r="D2" i="157"/>
  <c r="C2" i="157"/>
  <c r="B2" i="157"/>
  <c r="F2" i="156"/>
  <c r="E2" i="156"/>
  <c r="D2" i="156"/>
  <c r="C2" i="156"/>
  <c r="B2" i="156"/>
  <c r="F2" i="155"/>
  <c r="E2" i="155"/>
  <c r="D2" i="155"/>
  <c r="C2" i="155"/>
  <c r="B2" i="155"/>
  <c r="F2" i="154"/>
  <c r="E2" i="154"/>
  <c r="D2" i="154"/>
  <c r="C2" i="154"/>
  <c r="B2" i="154"/>
  <c r="F2" i="153"/>
  <c r="E2" i="153"/>
  <c r="D2" i="153"/>
  <c r="C2" i="153"/>
  <c r="B2" i="153"/>
  <c r="F2" i="152"/>
  <c r="E2" i="152"/>
  <c r="D2" i="152"/>
  <c r="C2" i="152"/>
  <c r="B2" i="152"/>
  <c r="F2" i="151"/>
  <c r="E2" i="151"/>
  <c r="D2" i="151"/>
  <c r="C2" i="151"/>
  <c r="B2" i="151"/>
  <c r="F2" i="150"/>
  <c r="E2" i="150"/>
  <c r="D2" i="150"/>
  <c r="C2" i="150"/>
  <c r="B2" i="150"/>
  <c r="F2" i="149"/>
  <c r="E2" i="149"/>
  <c r="D2" i="149"/>
  <c r="C2" i="149"/>
  <c r="B2" i="149"/>
  <c r="F2" i="148"/>
  <c r="E2" i="148"/>
  <c r="D2" i="148"/>
  <c r="C2" i="148"/>
  <c r="B2" i="148"/>
  <c r="F2" i="147"/>
  <c r="E2" i="147"/>
  <c r="D2" i="147"/>
  <c r="C2" i="147"/>
  <c r="B2" i="147"/>
  <c r="F2" i="146"/>
  <c r="E2" i="146"/>
  <c r="D2" i="146"/>
  <c r="C2" i="146"/>
  <c r="B2" i="146"/>
  <c r="F2" i="145"/>
  <c r="E2" i="145"/>
  <c r="D2" i="145"/>
  <c r="C2" i="145"/>
  <c r="B2" i="145"/>
  <c r="F2" i="144"/>
  <c r="E2" i="144"/>
  <c r="D2" i="144"/>
  <c r="C2" i="144"/>
  <c r="B2" i="144"/>
  <c r="F2" i="143"/>
  <c r="E2" i="143"/>
  <c r="D2" i="143"/>
  <c r="C2" i="143"/>
  <c r="B2" i="143"/>
  <c r="F2" i="142"/>
  <c r="E2" i="142"/>
  <c r="D2" i="142"/>
  <c r="C2" i="142"/>
  <c r="B2" i="142"/>
  <c r="F2" i="141"/>
  <c r="E2" i="141"/>
  <c r="D2" i="141"/>
  <c r="C2" i="141"/>
  <c r="B2" i="141"/>
  <c r="F2" i="140"/>
  <c r="E2" i="140"/>
  <c r="D2" i="140"/>
  <c r="C2" i="140"/>
  <c r="B2" i="140"/>
  <c r="F2" i="139"/>
  <c r="E2" i="139"/>
  <c r="D2" i="139"/>
  <c r="C2" i="139"/>
  <c r="B2" i="139"/>
  <c r="F2" i="138"/>
  <c r="E2" i="138"/>
  <c r="D2" i="138"/>
  <c r="C2" i="138"/>
  <c r="B2" i="138"/>
  <c r="F2" i="137"/>
  <c r="E2" i="137"/>
  <c r="D2" i="137"/>
  <c r="C2" i="137"/>
  <c r="B2" i="137"/>
  <c r="F2" i="136"/>
  <c r="E2" i="136"/>
  <c r="D2" i="136"/>
  <c r="C2" i="136"/>
  <c r="B2" i="136"/>
  <c r="F2" i="135"/>
  <c r="E2" i="135"/>
  <c r="D2" i="135"/>
  <c r="C2" i="135"/>
  <c r="B2" i="135"/>
  <c r="F2" i="134"/>
  <c r="E2" i="134"/>
  <c r="D2" i="134"/>
  <c r="C2" i="134"/>
  <c r="B2" i="134"/>
  <c r="F2" i="133"/>
  <c r="E2" i="133"/>
  <c r="D2" i="133"/>
  <c r="C2" i="133"/>
  <c r="B2" i="133"/>
  <c r="F2" i="132"/>
  <c r="E2" i="132"/>
  <c r="D2" i="132"/>
  <c r="C2" i="132"/>
  <c r="B2" i="132"/>
  <c r="F2" i="131"/>
  <c r="E2" i="131"/>
  <c r="D2" i="131"/>
  <c r="C2" i="131"/>
  <c r="B2" i="131"/>
  <c r="F2" i="130"/>
  <c r="E2" i="130"/>
  <c r="D2" i="130"/>
  <c r="C2" i="130"/>
  <c r="B2" i="130"/>
  <c r="F2" i="129"/>
  <c r="E2" i="129"/>
  <c r="D2" i="129"/>
  <c r="C2" i="129"/>
  <c r="B2" i="129"/>
  <c r="F2" i="128"/>
  <c r="E2" i="128"/>
  <c r="D2" i="128"/>
  <c r="C2" i="128"/>
  <c r="B2" i="128"/>
  <c r="F2" i="127"/>
  <c r="E2" i="127"/>
  <c r="D2" i="127"/>
  <c r="C2" i="127"/>
  <c r="B2" i="127"/>
  <c r="F2" i="126"/>
  <c r="E2" i="126"/>
  <c r="D2" i="126"/>
  <c r="C2" i="126"/>
  <c r="B2" i="126"/>
  <c r="F2" i="125"/>
  <c r="E2" i="125"/>
  <c r="D2" i="125"/>
  <c r="C2" i="125"/>
  <c r="B2" i="125"/>
  <c r="F2" i="124"/>
  <c r="E2" i="124"/>
  <c r="D2" i="124"/>
  <c r="C2" i="124"/>
  <c r="B2" i="124"/>
  <c r="F2" i="123"/>
  <c r="E2" i="123"/>
  <c r="D2" i="123"/>
  <c r="C2" i="123"/>
  <c r="B2" i="123"/>
  <c r="F2" i="122"/>
  <c r="E2" i="122"/>
  <c r="D2" i="122"/>
  <c r="C2" i="122"/>
  <c r="B2" i="122"/>
  <c r="F2" i="121"/>
  <c r="E2" i="121"/>
  <c r="D2" i="121"/>
  <c r="C2" i="121"/>
  <c r="B2" i="121"/>
  <c r="F2" i="120"/>
  <c r="E2" i="120"/>
  <c r="D2" i="120"/>
  <c r="C2" i="120"/>
  <c r="B2" i="120"/>
  <c r="F2" i="119"/>
  <c r="E2" i="119"/>
  <c r="D2" i="119"/>
  <c r="C2" i="119"/>
  <c r="B2" i="119"/>
  <c r="F2" i="118"/>
  <c r="E2" i="118"/>
  <c r="D2" i="118"/>
  <c r="C2" i="118"/>
  <c r="B2" i="118"/>
  <c r="F2" i="117"/>
  <c r="E2" i="117"/>
  <c r="D2" i="117"/>
  <c r="C2" i="117"/>
  <c r="B2" i="117"/>
  <c r="F2" i="116"/>
  <c r="E2" i="116"/>
  <c r="D2" i="116"/>
  <c r="C2" i="116"/>
  <c r="B2" i="116"/>
  <c r="F2" i="115"/>
  <c r="E2" i="115"/>
  <c r="D2" i="115"/>
  <c r="C2" i="115"/>
  <c r="B2" i="115"/>
  <c r="F2" i="114"/>
  <c r="E2" i="114"/>
  <c r="D2" i="114"/>
  <c r="C2" i="114"/>
  <c r="B2" i="114"/>
  <c r="F2" i="113"/>
  <c r="E2" i="113"/>
  <c r="D2" i="113"/>
  <c r="C2" i="113"/>
  <c r="B2" i="113"/>
  <c r="F2" i="112"/>
  <c r="E2" i="112"/>
  <c r="D2" i="112"/>
  <c r="C2" i="112"/>
  <c r="B2" i="112"/>
  <c r="F2" i="111"/>
  <c r="E2" i="111"/>
  <c r="D2" i="111"/>
  <c r="C2" i="111"/>
  <c r="B2" i="111"/>
  <c r="F2" i="110"/>
  <c r="E2" i="110"/>
  <c r="D2" i="110"/>
  <c r="C2" i="110"/>
  <c r="B2" i="110"/>
  <c r="F2" i="109"/>
  <c r="E2" i="109"/>
  <c r="D2" i="109"/>
  <c r="C2" i="109"/>
  <c r="B2" i="109"/>
  <c r="F2" i="108"/>
  <c r="E2" i="108"/>
  <c r="D2" i="108"/>
  <c r="C2" i="108"/>
  <c r="B2" i="108"/>
  <c r="F2" i="107"/>
  <c r="E2" i="107"/>
  <c r="D2" i="107"/>
  <c r="C2" i="107"/>
  <c r="B2" i="107"/>
  <c r="F2" i="106"/>
  <c r="E2" i="106"/>
  <c r="D2" i="106"/>
  <c r="C2" i="106"/>
  <c r="B2" i="106"/>
  <c r="F2" i="105"/>
  <c r="E2" i="105"/>
  <c r="D2" i="105"/>
  <c r="C2" i="105"/>
  <c r="B2" i="105"/>
  <c r="F2" i="104"/>
  <c r="E2" i="104"/>
  <c r="D2" i="104"/>
  <c r="C2" i="104"/>
  <c r="B2" i="104"/>
  <c r="F2" i="103"/>
  <c r="E2" i="103"/>
  <c r="D2" i="103"/>
  <c r="C2" i="103"/>
  <c r="B2" i="103"/>
  <c r="F2" i="102"/>
  <c r="E2" i="102"/>
  <c r="D2" i="102"/>
  <c r="C2" i="102"/>
  <c r="B2" i="102"/>
  <c r="F2" i="101"/>
  <c r="E2" i="101"/>
  <c r="D2" i="101"/>
  <c r="C2" i="101"/>
  <c r="B2" i="101"/>
  <c r="F2" i="100"/>
  <c r="E2" i="100"/>
  <c r="D2" i="100"/>
  <c r="C2" i="100"/>
  <c r="B2" i="100"/>
  <c r="F2" i="99"/>
  <c r="E2" i="99"/>
  <c r="D2" i="99"/>
  <c r="C2" i="99"/>
  <c r="B2" i="99"/>
  <c r="F2" i="98"/>
  <c r="E2" i="98"/>
  <c r="D2" i="98"/>
  <c r="C2" i="98"/>
  <c r="B2" i="98"/>
  <c r="F2" i="97"/>
  <c r="E2" i="97"/>
  <c r="D2" i="97"/>
  <c r="C2" i="97"/>
  <c r="B2" i="97"/>
  <c r="F2" i="96"/>
  <c r="E2" i="96"/>
  <c r="D2" i="96"/>
  <c r="C2" i="96"/>
  <c r="B2" i="96"/>
  <c r="F2" i="95"/>
  <c r="E2" i="95"/>
  <c r="D2" i="95"/>
  <c r="C2" i="95"/>
  <c r="B2" i="95"/>
  <c r="F2" i="81"/>
  <c r="E2" i="81"/>
  <c r="D2" i="81"/>
  <c r="C2" i="81"/>
  <c r="B2" i="81"/>
  <c r="F2" i="80"/>
  <c r="E2" i="80"/>
  <c r="D2" i="80"/>
  <c r="C2" i="80"/>
  <c r="B2" i="80"/>
  <c r="F2" i="79"/>
  <c r="E2" i="79"/>
  <c r="D2" i="79"/>
  <c r="C2" i="79"/>
  <c r="B2" i="79"/>
  <c r="F2" i="78"/>
  <c r="E2" i="78"/>
  <c r="D2" i="78"/>
  <c r="C2" i="78"/>
  <c r="B2" i="78"/>
  <c r="F2" i="77"/>
  <c r="E2" i="77"/>
  <c r="D2" i="77"/>
  <c r="C2" i="77"/>
  <c r="B2" i="77"/>
  <c r="F2" i="76"/>
  <c r="E2" i="76"/>
  <c r="D2" i="76"/>
  <c r="C2" i="76"/>
  <c r="B2" i="76"/>
  <c r="F2" i="94"/>
  <c r="E2" i="94"/>
  <c r="D2" i="94"/>
  <c r="C2" i="94"/>
  <c r="B2" i="94"/>
  <c r="F2" i="93"/>
  <c r="E2" i="93"/>
  <c r="D2" i="93"/>
  <c r="C2" i="93"/>
  <c r="B2" i="93"/>
  <c r="F2" i="92"/>
  <c r="E2" i="92"/>
  <c r="D2" i="92"/>
  <c r="C2" i="92"/>
  <c r="B2" i="92"/>
  <c r="F2" i="91"/>
  <c r="E2" i="91"/>
  <c r="D2" i="91"/>
  <c r="C2" i="91"/>
  <c r="B2" i="91"/>
  <c r="F2" i="90"/>
  <c r="E2" i="90"/>
  <c r="D2" i="90"/>
  <c r="C2" i="90"/>
  <c r="B2" i="90"/>
  <c r="F2" i="89" l="1"/>
  <c r="E2" i="89"/>
  <c r="D2" i="89"/>
  <c r="C2" i="89"/>
  <c r="B2" i="89"/>
  <c r="F2" i="88"/>
  <c r="E2" i="88"/>
  <c r="D2" i="88"/>
  <c r="C2" i="88"/>
  <c r="B2" i="88"/>
  <c r="F2" i="87"/>
  <c r="E2" i="87"/>
  <c r="D2" i="87"/>
  <c r="C2" i="87"/>
  <c r="B2" i="87"/>
  <c r="F2" i="86"/>
  <c r="E2" i="86"/>
  <c r="D2" i="86"/>
  <c r="C2" i="86"/>
  <c r="B2" i="86"/>
  <c r="F2" i="85"/>
  <c r="E2" i="85"/>
  <c r="D2" i="85"/>
  <c r="C2" i="85"/>
  <c r="B2" i="85"/>
  <c r="F2" i="84"/>
  <c r="E2" i="84"/>
  <c r="D2" i="84"/>
  <c r="C2" i="84"/>
  <c r="B2" i="84"/>
  <c r="F2" i="83"/>
  <c r="E2" i="83"/>
  <c r="D2" i="83"/>
  <c r="C2" i="83"/>
  <c r="B2" i="83"/>
  <c r="F2" i="82"/>
  <c r="E2" i="82"/>
  <c r="D2" i="82"/>
  <c r="C2" i="82"/>
  <c r="B2" i="82"/>
  <c r="F2" i="75"/>
  <c r="E2" i="75"/>
  <c r="D2" i="75"/>
  <c r="C2" i="75"/>
  <c r="B2" i="75"/>
  <c r="F2" i="74"/>
  <c r="E2" i="74"/>
  <c r="D2" i="74"/>
  <c r="C2" i="74"/>
  <c r="B2" i="74"/>
  <c r="F2" i="73"/>
  <c r="E2" i="73"/>
  <c r="D2" i="73"/>
  <c r="C2" i="73"/>
  <c r="B2" i="73"/>
  <c r="F2" i="72"/>
  <c r="E2" i="72"/>
  <c r="D2" i="72"/>
  <c r="C2" i="72"/>
  <c r="B2" i="72"/>
  <c r="F2" i="71"/>
  <c r="E2" i="71"/>
  <c r="D2" i="71"/>
  <c r="C2" i="71"/>
  <c r="B2" i="71"/>
  <c r="F2" i="70"/>
  <c r="E2" i="70"/>
  <c r="D2" i="70"/>
  <c r="C2" i="70"/>
  <c r="B2" i="70"/>
  <c r="F2" i="69"/>
  <c r="E2" i="69"/>
  <c r="D2" i="69"/>
  <c r="C2" i="69"/>
  <c r="B2" i="69"/>
  <c r="F2" i="68"/>
  <c r="E2" i="68"/>
  <c r="D2" i="68"/>
  <c r="C2" i="68"/>
  <c r="B2" i="68"/>
  <c r="F2" i="67"/>
  <c r="E2" i="67"/>
  <c r="D2" i="67"/>
  <c r="C2" i="67"/>
  <c r="B2" i="67"/>
  <c r="F2" i="66"/>
  <c r="E2" i="66"/>
  <c r="D2" i="66"/>
  <c r="C2" i="66"/>
  <c r="B2" i="66"/>
  <c r="F2" i="65"/>
  <c r="E2" i="65"/>
  <c r="D2" i="65"/>
  <c r="C2" i="65"/>
  <c r="B2" i="65"/>
  <c r="F2" i="64"/>
  <c r="E2" i="64"/>
  <c r="D2" i="64"/>
  <c r="C2" i="64"/>
  <c r="B2" i="64"/>
  <c r="F2" i="63"/>
  <c r="E2" i="63"/>
  <c r="D2" i="63"/>
  <c r="C2" i="63"/>
  <c r="B2" i="63"/>
  <c r="F2" i="62"/>
  <c r="E2" i="62"/>
  <c r="D2" i="62"/>
  <c r="C2" i="62"/>
  <c r="B2" i="62"/>
  <c r="F2" i="61"/>
  <c r="E2" i="61"/>
  <c r="D2" i="61"/>
  <c r="C2" i="61"/>
  <c r="B2" i="61"/>
  <c r="F2" i="56"/>
  <c r="E2" i="56"/>
  <c r="D2" i="56"/>
  <c r="C2" i="56"/>
  <c r="B2" i="56"/>
  <c r="F2" i="57"/>
  <c r="E2" i="57"/>
  <c r="D2" i="57"/>
  <c r="C2" i="57"/>
  <c r="B2" i="57"/>
  <c r="F2" i="58"/>
  <c r="E2" i="58"/>
  <c r="D2" i="58"/>
  <c r="C2" i="58"/>
  <c r="B2" i="58"/>
  <c r="F2" i="59"/>
  <c r="E2" i="59"/>
  <c r="D2" i="59"/>
  <c r="C2" i="59"/>
  <c r="B2" i="59"/>
  <c r="F2" i="60"/>
  <c r="E2" i="60"/>
  <c r="D2" i="60"/>
  <c r="C2" i="60"/>
  <c r="B2" i="60"/>
  <c r="F2" i="55"/>
  <c r="E2" i="55"/>
  <c r="D2" i="55"/>
  <c r="C2" i="55"/>
  <c r="B2" i="55"/>
  <c r="F2" i="54"/>
  <c r="E2" i="54"/>
  <c r="D2" i="54"/>
  <c r="C2" i="54"/>
  <c r="B2" i="54"/>
  <c r="F2" i="53"/>
  <c r="E2" i="53"/>
  <c r="D2" i="53"/>
  <c r="C2" i="53"/>
  <c r="B2" i="53"/>
  <c r="F2" i="52"/>
  <c r="E2" i="52"/>
  <c r="D2" i="52"/>
  <c r="C2" i="52"/>
  <c r="B2" i="52"/>
  <c r="F2" i="51"/>
  <c r="E2" i="51"/>
  <c r="D2" i="51"/>
  <c r="C2" i="51"/>
  <c r="B2" i="51"/>
  <c r="F2" i="50"/>
  <c r="E2" i="50"/>
  <c r="D2" i="50"/>
  <c r="C2" i="50"/>
  <c r="B2" i="50"/>
  <c r="F2" i="49"/>
  <c r="E2" i="49"/>
  <c r="D2" i="49"/>
  <c r="C2" i="49"/>
  <c r="B2" i="49"/>
  <c r="F2" i="48"/>
  <c r="E2" i="48"/>
  <c r="D2" i="48"/>
  <c r="C2" i="48"/>
  <c r="B2" i="48"/>
  <c r="F2" i="47"/>
  <c r="E2" i="47"/>
  <c r="D2" i="47"/>
  <c r="C2" i="47"/>
  <c r="B2" i="47"/>
  <c r="F2" i="46"/>
  <c r="E2" i="46"/>
  <c r="D2" i="46"/>
  <c r="C2" i="46"/>
  <c r="B2" i="46"/>
  <c r="F2" i="45"/>
  <c r="E2" i="45"/>
  <c r="D2" i="45"/>
  <c r="C2" i="45"/>
  <c r="B2" i="45"/>
  <c r="F2" i="44"/>
  <c r="E2" i="44"/>
  <c r="D2" i="44"/>
  <c r="C2" i="44"/>
  <c r="B2" i="44"/>
  <c r="F2" i="43"/>
  <c r="E2" i="43"/>
  <c r="D2" i="43"/>
  <c r="C2" i="43"/>
  <c r="B2" i="43"/>
  <c r="F2" i="42"/>
  <c r="E2" i="42"/>
  <c r="D2" i="42"/>
  <c r="C2" i="42"/>
  <c r="B2" i="42"/>
  <c r="F2" i="41"/>
  <c r="E2" i="41"/>
  <c r="D2" i="41"/>
  <c r="C2" i="41"/>
  <c r="B2" i="41"/>
  <c r="F2" i="40"/>
  <c r="E2" i="40"/>
  <c r="D2" i="40"/>
  <c r="C2" i="40"/>
  <c r="B2" i="40"/>
  <c r="F2" i="39"/>
  <c r="E2" i="39"/>
  <c r="D2" i="39"/>
  <c r="C2" i="39"/>
  <c r="B2" i="39"/>
  <c r="F2" i="38"/>
  <c r="E2" i="38"/>
  <c r="D2" i="38"/>
  <c r="C2" i="38"/>
  <c r="B2" i="38"/>
  <c r="F2" i="37"/>
  <c r="E2" i="37"/>
  <c r="D2" i="37"/>
  <c r="C2" i="37"/>
  <c r="B2" i="37"/>
  <c r="F2" i="36"/>
  <c r="E2" i="36"/>
  <c r="D2" i="36"/>
  <c r="C2" i="36"/>
  <c r="B2" i="36"/>
  <c r="F2" i="35"/>
  <c r="E2" i="35"/>
  <c r="D2" i="35"/>
  <c r="C2" i="35"/>
  <c r="B2" i="35"/>
  <c r="F2" i="34"/>
  <c r="E2" i="34"/>
  <c r="D2" i="34"/>
  <c r="C2" i="34"/>
  <c r="B2" i="34"/>
  <c r="F2" i="33"/>
  <c r="E2" i="33"/>
  <c r="D2" i="33"/>
  <c r="C2" i="33"/>
  <c r="B2" i="33"/>
  <c r="F2" i="32"/>
  <c r="E2" i="32"/>
  <c r="D2" i="32"/>
  <c r="C2" i="32"/>
  <c r="B2" i="32"/>
  <c r="F2" i="31"/>
  <c r="E2" i="31"/>
  <c r="D2" i="31"/>
  <c r="C2" i="31"/>
  <c r="B2" i="31"/>
  <c r="F2" i="30"/>
  <c r="E2" i="30"/>
  <c r="D2" i="30"/>
  <c r="C2" i="30"/>
  <c r="B2" i="30"/>
  <c r="A8" i="30"/>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7" i="30"/>
  <c r="F1" i="30"/>
  <c r="E1" i="30"/>
  <c r="D1" i="30"/>
  <c r="C1" i="30"/>
  <c r="B1" i="30"/>
  <c r="F2" i="29"/>
  <c r="E2" i="29"/>
  <c r="D2" i="29"/>
  <c r="C2" i="29"/>
  <c r="B2" i="29"/>
  <c r="F2" i="28"/>
  <c r="E2" i="28"/>
  <c r="D2" i="28"/>
  <c r="C2" i="28"/>
  <c r="B2" i="28"/>
  <c r="F2" i="27"/>
  <c r="E2" i="27"/>
  <c r="D2" i="27"/>
  <c r="C2" i="27"/>
  <c r="B2" i="27"/>
  <c r="F2" i="26"/>
  <c r="E2" i="26"/>
  <c r="D2" i="26"/>
  <c r="C2" i="26"/>
  <c r="B2" i="26"/>
  <c r="A8" i="217"/>
  <c r="A9" i="217" s="1"/>
  <c r="A10" i="217" s="1"/>
  <c r="A11" i="217" s="1"/>
  <c r="A12" i="217" s="1"/>
  <c r="A13" i="217" s="1"/>
  <c r="A14" i="217" s="1"/>
  <c r="A15" i="217" s="1"/>
  <c r="A16" i="217" s="1"/>
  <c r="A17" i="217" s="1"/>
  <c r="A18" i="217" s="1"/>
  <c r="A19" i="217" s="1"/>
  <c r="A20" i="217" s="1"/>
  <c r="A21" i="217" s="1"/>
  <c r="A22" i="217" s="1"/>
  <c r="A23" i="217" s="1"/>
  <c r="A24" i="217" s="1"/>
  <c r="A25" i="217" s="1"/>
  <c r="A26" i="217" s="1"/>
  <c r="A27" i="217" s="1"/>
  <c r="A28" i="217" s="1"/>
  <c r="A29" i="217" s="1"/>
  <c r="A30" i="217" s="1"/>
  <c r="A31" i="217" s="1"/>
  <c r="A32" i="217" s="1"/>
  <c r="A33" i="217" s="1"/>
  <c r="A34" i="217" s="1"/>
  <c r="A35" i="217" s="1"/>
  <c r="A36" i="217" s="1"/>
  <c r="A37" i="217" s="1"/>
  <c r="A38" i="217" s="1"/>
  <c r="A39" i="217" s="1"/>
  <c r="A40" i="217" s="1"/>
  <c r="A41" i="217" s="1"/>
  <c r="A42" i="217" s="1"/>
  <c r="A43" i="217" s="1"/>
  <c r="A44" i="217" s="1"/>
  <c r="A45" i="217" s="1"/>
  <c r="A46" i="217" s="1"/>
  <c r="A47" i="217" s="1"/>
  <c r="A48" i="217" s="1"/>
  <c r="A49" i="217" s="1"/>
  <c r="A50" i="217" s="1"/>
  <c r="A51" i="217" s="1"/>
  <c r="A52" i="217" s="1"/>
  <c r="A53" i="217" s="1"/>
  <c r="A54" i="217" s="1"/>
  <c r="A55" i="217" s="1"/>
  <c r="A56" i="217" s="1"/>
  <c r="A57" i="217" s="1"/>
  <c r="A58" i="217" s="1"/>
  <c r="A59" i="217" s="1"/>
  <c r="A60" i="217" s="1"/>
  <c r="A61" i="217" s="1"/>
  <c r="A62" i="217" s="1"/>
  <c r="A63" i="217" s="1"/>
  <c r="A64" i="217" s="1"/>
  <c r="A65" i="217" s="1"/>
  <c r="A66" i="217" s="1"/>
  <c r="A67" i="217" s="1"/>
  <c r="A68" i="217" s="1"/>
  <c r="A69" i="217" s="1"/>
  <c r="A70" i="217" s="1"/>
  <c r="A71" i="217" s="1"/>
  <c r="A72" i="217" s="1"/>
  <c r="A73" i="217" s="1"/>
  <c r="A74" i="217" s="1"/>
  <c r="A75" i="217" s="1"/>
  <c r="A76" i="217" s="1"/>
  <c r="A77" i="217" s="1"/>
  <c r="A78" i="217" s="1"/>
  <c r="A79" i="217" s="1"/>
  <c r="A80" i="217" s="1"/>
  <c r="A81" i="217" s="1"/>
  <c r="A82" i="217" s="1"/>
  <c r="A83" i="217" s="1"/>
  <c r="A84" i="217" s="1"/>
  <c r="A85" i="217" s="1"/>
  <c r="A86" i="217" s="1"/>
  <c r="A87" i="217" s="1"/>
  <c r="A88" i="217" s="1"/>
  <c r="A89" i="217" s="1"/>
  <c r="A90" i="217" s="1"/>
  <c r="A91" i="217" s="1"/>
  <c r="A7" i="217"/>
  <c r="F1" i="217"/>
  <c r="E1" i="217"/>
  <c r="D1" i="217"/>
  <c r="C1" i="217"/>
  <c r="B1" i="217"/>
  <c r="A8" i="216"/>
  <c r="A9" i="216" s="1"/>
  <c r="A10" i="216" s="1"/>
  <c r="A11" i="216" s="1"/>
  <c r="A12" i="216" s="1"/>
  <c r="A13" i="216" s="1"/>
  <c r="A14" i="216" s="1"/>
  <c r="A15" i="216" s="1"/>
  <c r="A16" i="216" s="1"/>
  <c r="A17" i="216" s="1"/>
  <c r="A18" i="216" s="1"/>
  <c r="A19" i="216" s="1"/>
  <c r="A20" i="216" s="1"/>
  <c r="A21" i="216" s="1"/>
  <c r="A22" i="216" s="1"/>
  <c r="A23" i="216" s="1"/>
  <c r="A24" i="216" s="1"/>
  <c r="A25" i="216" s="1"/>
  <c r="A26" i="216" s="1"/>
  <c r="A27" i="216" s="1"/>
  <c r="A28" i="216" s="1"/>
  <c r="A29" i="216" s="1"/>
  <c r="A30" i="216" s="1"/>
  <c r="A31" i="216" s="1"/>
  <c r="A32" i="216" s="1"/>
  <c r="A33" i="216" s="1"/>
  <c r="A34" i="216" s="1"/>
  <c r="A35" i="216" s="1"/>
  <c r="A36" i="216" s="1"/>
  <c r="A37" i="216" s="1"/>
  <c r="A38" i="216" s="1"/>
  <c r="A39" i="216" s="1"/>
  <c r="A40" i="216" s="1"/>
  <c r="A41" i="216" s="1"/>
  <c r="A42" i="216" s="1"/>
  <c r="A43" i="216" s="1"/>
  <c r="A44" i="216" s="1"/>
  <c r="A45" i="216" s="1"/>
  <c r="A46" i="216" s="1"/>
  <c r="A47" i="216" s="1"/>
  <c r="A48" i="216" s="1"/>
  <c r="A49" i="216" s="1"/>
  <c r="A50" i="216" s="1"/>
  <c r="A51" i="216" s="1"/>
  <c r="A52" i="216" s="1"/>
  <c r="A53" i="216" s="1"/>
  <c r="A54" i="216" s="1"/>
  <c r="A55" i="216" s="1"/>
  <c r="A56" i="216" s="1"/>
  <c r="A57" i="216" s="1"/>
  <c r="A58" i="216" s="1"/>
  <c r="A59" i="216" s="1"/>
  <c r="A60" i="216" s="1"/>
  <c r="A61" i="216" s="1"/>
  <c r="A62" i="216" s="1"/>
  <c r="A63" i="216" s="1"/>
  <c r="A64" i="216" s="1"/>
  <c r="A65" i="216" s="1"/>
  <c r="A66" i="216" s="1"/>
  <c r="A67" i="216" s="1"/>
  <c r="A68" i="216" s="1"/>
  <c r="A69" i="216" s="1"/>
  <c r="A70" i="216" s="1"/>
  <c r="A71" i="216" s="1"/>
  <c r="A72" i="216" s="1"/>
  <c r="A73" i="216" s="1"/>
  <c r="A74" i="216" s="1"/>
  <c r="A75" i="216" s="1"/>
  <c r="A76" i="216" s="1"/>
  <c r="A77" i="216" s="1"/>
  <c r="A78" i="216" s="1"/>
  <c r="A79" i="216" s="1"/>
  <c r="A80" i="216" s="1"/>
  <c r="A81" i="216" s="1"/>
  <c r="A82" i="216" s="1"/>
  <c r="A83" i="216" s="1"/>
  <c r="A84" i="216" s="1"/>
  <c r="A85" i="216" s="1"/>
  <c r="A86" i="216" s="1"/>
  <c r="A87" i="216" s="1"/>
  <c r="A88" i="216" s="1"/>
  <c r="A89" i="216" s="1"/>
  <c r="A90" i="216" s="1"/>
  <c r="A91" i="216" s="1"/>
  <c r="A7" i="216"/>
  <c r="F1" i="216"/>
  <c r="E1" i="216"/>
  <c r="D1" i="216"/>
  <c r="C1" i="216"/>
  <c r="B1" i="216"/>
  <c r="A8" i="215"/>
  <c r="A9" i="215" s="1"/>
  <c r="A10" i="215" s="1"/>
  <c r="A11" i="215" s="1"/>
  <c r="A12" i="215" s="1"/>
  <c r="A13" i="215" s="1"/>
  <c r="A14" i="215" s="1"/>
  <c r="A15" i="215" s="1"/>
  <c r="A16" i="215" s="1"/>
  <c r="A17" i="215" s="1"/>
  <c r="A18" i="215" s="1"/>
  <c r="A19" i="215" s="1"/>
  <c r="A20" i="215" s="1"/>
  <c r="A21" i="215" s="1"/>
  <c r="A22" i="215" s="1"/>
  <c r="A23" i="215" s="1"/>
  <c r="A24" i="215" s="1"/>
  <c r="A25" i="215" s="1"/>
  <c r="A26" i="215" s="1"/>
  <c r="A27" i="215" s="1"/>
  <c r="A28" i="215" s="1"/>
  <c r="A29" i="215" s="1"/>
  <c r="A30" i="215" s="1"/>
  <c r="A31" i="215" s="1"/>
  <c r="A32" i="215" s="1"/>
  <c r="A33" i="215" s="1"/>
  <c r="A34" i="215" s="1"/>
  <c r="A35" i="215" s="1"/>
  <c r="A36" i="215" s="1"/>
  <c r="A37" i="215" s="1"/>
  <c r="A38" i="215" s="1"/>
  <c r="A39" i="215" s="1"/>
  <c r="A40" i="215" s="1"/>
  <c r="A41" i="215" s="1"/>
  <c r="A42" i="215" s="1"/>
  <c r="A43" i="215" s="1"/>
  <c r="A44" i="215" s="1"/>
  <c r="A45" i="215" s="1"/>
  <c r="A46" i="215" s="1"/>
  <c r="A47" i="215" s="1"/>
  <c r="A48" i="215" s="1"/>
  <c r="A49" i="215" s="1"/>
  <c r="A50" i="215" s="1"/>
  <c r="A51" i="215" s="1"/>
  <c r="A52" i="215" s="1"/>
  <c r="A53" i="215" s="1"/>
  <c r="A54" i="215" s="1"/>
  <c r="A55" i="215" s="1"/>
  <c r="A56" i="215" s="1"/>
  <c r="A57" i="215" s="1"/>
  <c r="A58" i="215" s="1"/>
  <c r="A59" i="215" s="1"/>
  <c r="A60" i="215" s="1"/>
  <c r="A61" i="215" s="1"/>
  <c r="A62" i="215" s="1"/>
  <c r="A63" i="215" s="1"/>
  <c r="A64" i="215" s="1"/>
  <c r="A65" i="215" s="1"/>
  <c r="A66" i="215" s="1"/>
  <c r="A67" i="215" s="1"/>
  <c r="A68" i="215" s="1"/>
  <c r="A69" i="215" s="1"/>
  <c r="A70" i="215" s="1"/>
  <c r="A71" i="215" s="1"/>
  <c r="A72" i="215" s="1"/>
  <c r="A73" i="215" s="1"/>
  <c r="A74" i="215" s="1"/>
  <c r="A75" i="215" s="1"/>
  <c r="A76" i="215" s="1"/>
  <c r="A77" i="215" s="1"/>
  <c r="A78" i="215" s="1"/>
  <c r="A79" i="215" s="1"/>
  <c r="A80" i="215" s="1"/>
  <c r="A81" i="215" s="1"/>
  <c r="A82" i="215" s="1"/>
  <c r="A83" i="215" s="1"/>
  <c r="A84" i="215" s="1"/>
  <c r="A85" i="215" s="1"/>
  <c r="A86" i="215" s="1"/>
  <c r="A87" i="215" s="1"/>
  <c r="A88" i="215" s="1"/>
  <c r="A89" i="215" s="1"/>
  <c r="A90" i="215" s="1"/>
  <c r="A91" i="215" s="1"/>
  <c r="A7" i="215"/>
  <c r="F1" i="215"/>
  <c r="E1" i="215"/>
  <c r="D1" i="215"/>
  <c r="C1" i="215"/>
  <c r="B1" i="215"/>
  <c r="A8" i="214"/>
  <c r="A9" i="214" s="1"/>
  <c r="A10" i="214" s="1"/>
  <c r="A11" i="214" s="1"/>
  <c r="A12" i="214" s="1"/>
  <c r="A13" i="214" s="1"/>
  <c r="A14" i="214" s="1"/>
  <c r="A15" i="214" s="1"/>
  <c r="A16" i="214" s="1"/>
  <c r="A17" i="214" s="1"/>
  <c r="A18" i="214" s="1"/>
  <c r="A19" i="214" s="1"/>
  <c r="A20" i="214" s="1"/>
  <c r="A21" i="214" s="1"/>
  <c r="A22" i="214" s="1"/>
  <c r="A23" i="214" s="1"/>
  <c r="A24" i="214" s="1"/>
  <c r="A25" i="214" s="1"/>
  <c r="A26" i="214" s="1"/>
  <c r="A27" i="214" s="1"/>
  <c r="A28" i="214" s="1"/>
  <c r="A29" i="214" s="1"/>
  <c r="A30" i="214" s="1"/>
  <c r="A31" i="214" s="1"/>
  <c r="A32" i="214" s="1"/>
  <c r="A33" i="214" s="1"/>
  <c r="A34" i="214" s="1"/>
  <c r="A35" i="214" s="1"/>
  <c r="A36" i="214" s="1"/>
  <c r="A37" i="214" s="1"/>
  <c r="A38" i="214" s="1"/>
  <c r="A39" i="214" s="1"/>
  <c r="A40" i="214" s="1"/>
  <c r="A41" i="214" s="1"/>
  <c r="A42" i="214" s="1"/>
  <c r="A43" i="214" s="1"/>
  <c r="A44" i="214" s="1"/>
  <c r="A45" i="214" s="1"/>
  <c r="A46" i="214" s="1"/>
  <c r="A47" i="214" s="1"/>
  <c r="A48" i="214" s="1"/>
  <c r="A49" i="214" s="1"/>
  <c r="A50" i="214" s="1"/>
  <c r="A51" i="214" s="1"/>
  <c r="A52" i="214" s="1"/>
  <c r="A53" i="214" s="1"/>
  <c r="A54" i="214" s="1"/>
  <c r="A55" i="214" s="1"/>
  <c r="A56" i="214" s="1"/>
  <c r="A57" i="214" s="1"/>
  <c r="A58" i="214" s="1"/>
  <c r="A59" i="214" s="1"/>
  <c r="A60" i="214" s="1"/>
  <c r="A61" i="214" s="1"/>
  <c r="A62" i="214" s="1"/>
  <c r="A63" i="214" s="1"/>
  <c r="A64" i="214" s="1"/>
  <c r="A65" i="214" s="1"/>
  <c r="A66" i="214" s="1"/>
  <c r="A67" i="214" s="1"/>
  <c r="A68" i="214" s="1"/>
  <c r="A69" i="214" s="1"/>
  <c r="A70" i="214" s="1"/>
  <c r="A71" i="214" s="1"/>
  <c r="A72" i="214" s="1"/>
  <c r="A73" i="214" s="1"/>
  <c r="A74" i="214" s="1"/>
  <c r="A75" i="214" s="1"/>
  <c r="A76" i="214" s="1"/>
  <c r="A77" i="214" s="1"/>
  <c r="A78" i="214" s="1"/>
  <c r="A79" i="214" s="1"/>
  <c r="A80" i="214" s="1"/>
  <c r="A81" i="214" s="1"/>
  <c r="A82" i="214" s="1"/>
  <c r="A83" i="214" s="1"/>
  <c r="A84" i="214" s="1"/>
  <c r="A85" i="214" s="1"/>
  <c r="A86" i="214" s="1"/>
  <c r="A87" i="214" s="1"/>
  <c r="A88" i="214" s="1"/>
  <c r="A89" i="214" s="1"/>
  <c r="A90" i="214" s="1"/>
  <c r="A91" i="214" s="1"/>
  <c r="A7" i="214"/>
  <c r="F1" i="214"/>
  <c r="E1" i="214"/>
  <c r="D1" i="214"/>
  <c r="C1" i="214"/>
  <c r="B1" i="214"/>
  <c r="A8" i="213"/>
  <c r="A9" i="213" s="1"/>
  <c r="A10" i="213" s="1"/>
  <c r="A11" i="213" s="1"/>
  <c r="A12" i="213" s="1"/>
  <c r="A13" i="213" s="1"/>
  <c r="A14" i="213" s="1"/>
  <c r="A15" i="213" s="1"/>
  <c r="A16" i="213" s="1"/>
  <c r="A17" i="213" s="1"/>
  <c r="A18" i="213" s="1"/>
  <c r="A19" i="213" s="1"/>
  <c r="A20" i="213" s="1"/>
  <c r="A21" i="213" s="1"/>
  <c r="A22" i="213" s="1"/>
  <c r="A23" i="213" s="1"/>
  <c r="A24" i="213" s="1"/>
  <c r="A25" i="213" s="1"/>
  <c r="A26" i="213" s="1"/>
  <c r="A27" i="213" s="1"/>
  <c r="A28" i="213" s="1"/>
  <c r="A29" i="213" s="1"/>
  <c r="A30" i="213" s="1"/>
  <c r="A31" i="213" s="1"/>
  <c r="A32" i="213" s="1"/>
  <c r="A33" i="213" s="1"/>
  <c r="A34" i="213" s="1"/>
  <c r="A35" i="213" s="1"/>
  <c r="A36" i="213" s="1"/>
  <c r="A37" i="213" s="1"/>
  <c r="A38" i="213" s="1"/>
  <c r="A39" i="213" s="1"/>
  <c r="A40" i="213" s="1"/>
  <c r="A41" i="213" s="1"/>
  <c r="A42" i="213" s="1"/>
  <c r="A43" i="213" s="1"/>
  <c r="A44" i="213" s="1"/>
  <c r="A45" i="213" s="1"/>
  <c r="A46" i="213" s="1"/>
  <c r="A47" i="213" s="1"/>
  <c r="A48" i="213" s="1"/>
  <c r="A49" i="213" s="1"/>
  <c r="A50" i="213" s="1"/>
  <c r="A51" i="213" s="1"/>
  <c r="A52" i="213" s="1"/>
  <c r="A53" i="213" s="1"/>
  <c r="A54" i="213" s="1"/>
  <c r="A55" i="213" s="1"/>
  <c r="A56" i="213" s="1"/>
  <c r="A57" i="213" s="1"/>
  <c r="A58" i="213" s="1"/>
  <c r="A59" i="213" s="1"/>
  <c r="A60" i="213" s="1"/>
  <c r="A61" i="213" s="1"/>
  <c r="A62" i="213" s="1"/>
  <c r="A63" i="213" s="1"/>
  <c r="A64" i="213" s="1"/>
  <c r="A65" i="213" s="1"/>
  <c r="A66" i="213" s="1"/>
  <c r="A67" i="213" s="1"/>
  <c r="A68" i="213" s="1"/>
  <c r="A69" i="213" s="1"/>
  <c r="A70" i="213" s="1"/>
  <c r="A71" i="213" s="1"/>
  <c r="A72" i="213" s="1"/>
  <c r="A73" i="213" s="1"/>
  <c r="A74" i="213" s="1"/>
  <c r="A75" i="213" s="1"/>
  <c r="A76" i="213" s="1"/>
  <c r="A77" i="213" s="1"/>
  <c r="A78" i="213" s="1"/>
  <c r="A79" i="213" s="1"/>
  <c r="A80" i="213" s="1"/>
  <c r="A81" i="213" s="1"/>
  <c r="A82" i="213" s="1"/>
  <c r="A83" i="213" s="1"/>
  <c r="A84" i="213" s="1"/>
  <c r="A85" i="213" s="1"/>
  <c r="A86" i="213" s="1"/>
  <c r="A87" i="213" s="1"/>
  <c r="A88" i="213" s="1"/>
  <c r="A89" i="213" s="1"/>
  <c r="A90" i="213" s="1"/>
  <c r="A91" i="213" s="1"/>
  <c r="A7" i="213"/>
  <c r="F1" i="213"/>
  <c r="E1" i="213"/>
  <c r="D1" i="213"/>
  <c r="C1" i="213"/>
  <c r="B1" i="213"/>
  <c r="A8" i="212"/>
  <c r="A9" i="212" s="1"/>
  <c r="A10" i="212" s="1"/>
  <c r="A11" i="212" s="1"/>
  <c r="A12" i="212" s="1"/>
  <c r="A13" i="212" s="1"/>
  <c r="A14" i="212" s="1"/>
  <c r="A15" i="212" s="1"/>
  <c r="A16" i="212" s="1"/>
  <c r="A17" i="212" s="1"/>
  <c r="A18" i="212" s="1"/>
  <c r="A19" i="212" s="1"/>
  <c r="A20" i="212" s="1"/>
  <c r="A21" i="212" s="1"/>
  <c r="A22" i="212" s="1"/>
  <c r="A23" i="212" s="1"/>
  <c r="A24" i="212" s="1"/>
  <c r="A25" i="212" s="1"/>
  <c r="A26" i="212" s="1"/>
  <c r="A27" i="212" s="1"/>
  <c r="A28" i="212" s="1"/>
  <c r="A29" i="212" s="1"/>
  <c r="A30" i="212" s="1"/>
  <c r="A31" i="212" s="1"/>
  <c r="A32" i="212" s="1"/>
  <c r="A33" i="212" s="1"/>
  <c r="A34" i="212" s="1"/>
  <c r="A35" i="212" s="1"/>
  <c r="A36" i="212" s="1"/>
  <c r="A37" i="212" s="1"/>
  <c r="A38" i="212" s="1"/>
  <c r="A39" i="212" s="1"/>
  <c r="A40" i="212" s="1"/>
  <c r="A41" i="212" s="1"/>
  <c r="A42" i="212" s="1"/>
  <c r="A43" i="212" s="1"/>
  <c r="A44" i="212" s="1"/>
  <c r="A45" i="212" s="1"/>
  <c r="A46" i="212" s="1"/>
  <c r="A47" i="212" s="1"/>
  <c r="A48" i="212" s="1"/>
  <c r="A49" i="212" s="1"/>
  <c r="A50" i="212" s="1"/>
  <c r="A51" i="212" s="1"/>
  <c r="A52" i="212" s="1"/>
  <c r="A53" i="212" s="1"/>
  <c r="A54" i="212" s="1"/>
  <c r="A55" i="212" s="1"/>
  <c r="A56" i="212" s="1"/>
  <c r="A57" i="212" s="1"/>
  <c r="A58" i="212" s="1"/>
  <c r="A59" i="212" s="1"/>
  <c r="A60" i="212" s="1"/>
  <c r="A61" i="212" s="1"/>
  <c r="A62" i="212" s="1"/>
  <c r="A63" i="212" s="1"/>
  <c r="A64" i="212" s="1"/>
  <c r="A65" i="212" s="1"/>
  <c r="A66" i="212" s="1"/>
  <c r="A67" i="212" s="1"/>
  <c r="A68" i="212" s="1"/>
  <c r="A69" i="212" s="1"/>
  <c r="A70" i="212" s="1"/>
  <c r="A71" i="212" s="1"/>
  <c r="A72" i="212" s="1"/>
  <c r="A73" i="212" s="1"/>
  <c r="A74" i="212" s="1"/>
  <c r="A75" i="212" s="1"/>
  <c r="A76" i="212" s="1"/>
  <c r="A77" i="212" s="1"/>
  <c r="A78" i="212" s="1"/>
  <c r="A79" i="212" s="1"/>
  <c r="A80" i="212" s="1"/>
  <c r="A81" i="212" s="1"/>
  <c r="A82" i="212" s="1"/>
  <c r="A83" i="212" s="1"/>
  <c r="A84" i="212" s="1"/>
  <c r="A85" i="212" s="1"/>
  <c r="A86" i="212" s="1"/>
  <c r="A87" i="212" s="1"/>
  <c r="A88" i="212" s="1"/>
  <c r="A89" i="212" s="1"/>
  <c r="A90" i="212" s="1"/>
  <c r="A91" i="212" s="1"/>
  <c r="A7" i="212"/>
  <c r="F1" i="212"/>
  <c r="E1" i="212"/>
  <c r="D1" i="212"/>
  <c r="C1" i="212"/>
  <c r="B1" i="212"/>
  <c r="A8" i="211"/>
  <c r="A9" i="211" s="1"/>
  <c r="A10" i="211" s="1"/>
  <c r="A11" i="211" s="1"/>
  <c r="A12" i="211" s="1"/>
  <c r="A13" i="211" s="1"/>
  <c r="A14" i="211" s="1"/>
  <c r="A15" i="211" s="1"/>
  <c r="A16" i="211" s="1"/>
  <c r="A17" i="211" s="1"/>
  <c r="A18" i="211" s="1"/>
  <c r="A19" i="211" s="1"/>
  <c r="A20" i="211" s="1"/>
  <c r="A21" i="211" s="1"/>
  <c r="A22" i="211" s="1"/>
  <c r="A23" i="211" s="1"/>
  <c r="A24" i="211" s="1"/>
  <c r="A25" i="211" s="1"/>
  <c r="A26" i="211" s="1"/>
  <c r="A27" i="211" s="1"/>
  <c r="A28" i="211" s="1"/>
  <c r="A29" i="211" s="1"/>
  <c r="A30" i="211" s="1"/>
  <c r="A31" i="211" s="1"/>
  <c r="A32" i="211" s="1"/>
  <c r="A33" i="211" s="1"/>
  <c r="A34" i="211" s="1"/>
  <c r="A35" i="211" s="1"/>
  <c r="A36" i="211" s="1"/>
  <c r="A37" i="211" s="1"/>
  <c r="A38" i="211" s="1"/>
  <c r="A39" i="211" s="1"/>
  <c r="A40" i="211" s="1"/>
  <c r="A41" i="211" s="1"/>
  <c r="A42" i="211" s="1"/>
  <c r="A43" i="211" s="1"/>
  <c r="A44" i="211" s="1"/>
  <c r="A45" i="211" s="1"/>
  <c r="A46" i="211" s="1"/>
  <c r="A47" i="211" s="1"/>
  <c r="A48" i="211" s="1"/>
  <c r="A49" i="211" s="1"/>
  <c r="A50" i="211" s="1"/>
  <c r="A51" i="211" s="1"/>
  <c r="A52" i="211" s="1"/>
  <c r="A53" i="211" s="1"/>
  <c r="A54" i="211" s="1"/>
  <c r="A55" i="211" s="1"/>
  <c r="A56" i="211" s="1"/>
  <c r="A57" i="211" s="1"/>
  <c r="A58" i="211" s="1"/>
  <c r="A59" i="211" s="1"/>
  <c r="A60" i="211" s="1"/>
  <c r="A61" i="211" s="1"/>
  <c r="A62" i="211" s="1"/>
  <c r="A63" i="211" s="1"/>
  <c r="A64" i="211" s="1"/>
  <c r="A65" i="211" s="1"/>
  <c r="A66" i="211" s="1"/>
  <c r="A67" i="211" s="1"/>
  <c r="A68" i="211" s="1"/>
  <c r="A69" i="211" s="1"/>
  <c r="A70" i="211" s="1"/>
  <c r="A71" i="211" s="1"/>
  <c r="A72" i="211" s="1"/>
  <c r="A73" i="211" s="1"/>
  <c r="A74" i="211" s="1"/>
  <c r="A75" i="211" s="1"/>
  <c r="A76" i="211" s="1"/>
  <c r="A77" i="211" s="1"/>
  <c r="A78" i="211" s="1"/>
  <c r="A79" i="211" s="1"/>
  <c r="A80" i="211" s="1"/>
  <c r="A81" i="211" s="1"/>
  <c r="A82" i="211" s="1"/>
  <c r="A83" i="211" s="1"/>
  <c r="A84" i="211" s="1"/>
  <c r="A85" i="211" s="1"/>
  <c r="A86" i="211" s="1"/>
  <c r="A87" i="211" s="1"/>
  <c r="A88" i="211" s="1"/>
  <c r="A89" i="211" s="1"/>
  <c r="A90" i="211" s="1"/>
  <c r="A91" i="211" s="1"/>
  <c r="A7" i="211"/>
  <c r="F1" i="211"/>
  <c r="E1" i="211"/>
  <c r="D1" i="211"/>
  <c r="C1" i="211"/>
  <c r="B1" i="211"/>
  <c r="A8" i="210"/>
  <c r="A9" i="210" s="1"/>
  <c r="A10" i="210" s="1"/>
  <c r="A11" i="210" s="1"/>
  <c r="A12" i="210" s="1"/>
  <c r="A13" i="210" s="1"/>
  <c r="A14" i="210" s="1"/>
  <c r="A15" i="210" s="1"/>
  <c r="A16" i="210" s="1"/>
  <c r="A17" i="210" s="1"/>
  <c r="A18" i="210" s="1"/>
  <c r="A19" i="210" s="1"/>
  <c r="A20" i="210" s="1"/>
  <c r="A21" i="210" s="1"/>
  <c r="A22" i="210" s="1"/>
  <c r="A23" i="210" s="1"/>
  <c r="A24" i="210" s="1"/>
  <c r="A25" i="210" s="1"/>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7" i="210"/>
  <c r="F1" i="210"/>
  <c r="E1" i="210"/>
  <c r="D1" i="210"/>
  <c r="C1" i="210"/>
  <c r="B1" i="210"/>
  <c r="A8" i="209"/>
  <c r="A9" i="209" s="1"/>
  <c r="A10" i="209" s="1"/>
  <c r="A11" i="209" s="1"/>
  <c r="A12" i="209" s="1"/>
  <c r="A13" i="209" s="1"/>
  <c r="A14" i="209" s="1"/>
  <c r="A15" i="209" s="1"/>
  <c r="A16" i="209" s="1"/>
  <c r="A17" i="209" s="1"/>
  <c r="A18" i="209" s="1"/>
  <c r="A19" i="209" s="1"/>
  <c r="A20" i="209" s="1"/>
  <c r="A21" i="209" s="1"/>
  <c r="A22" i="209" s="1"/>
  <c r="A23" i="209" s="1"/>
  <c r="A24" i="209" s="1"/>
  <c r="A25" i="209" s="1"/>
  <c r="A26" i="209" s="1"/>
  <c r="A27" i="209" s="1"/>
  <c r="A28" i="209" s="1"/>
  <c r="A29" i="209" s="1"/>
  <c r="A30" i="209" s="1"/>
  <c r="A31" i="209" s="1"/>
  <c r="A32" i="209" s="1"/>
  <c r="A33" i="209" s="1"/>
  <c r="A34" i="209" s="1"/>
  <c r="A35" i="209" s="1"/>
  <c r="A36" i="209" s="1"/>
  <c r="A37" i="209" s="1"/>
  <c r="A38" i="209" s="1"/>
  <c r="A39" i="209" s="1"/>
  <c r="A40" i="209" s="1"/>
  <c r="A41" i="209" s="1"/>
  <c r="A42" i="209" s="1"/>
  <c r="A43" i="209" s="1"/>
  <c r="A44" i="209" s="1"/>
  <c r="A45" i="209" s="1"/>
  <c r="A46" i="209" s="1"/>
  <c r="A47" i="209" s="1"/>
  <c r="A48" i="209" s="1"/>
  <c r="A49" i="209" s="1"/>
  <c r="A50" i="209" s="1"/>
  <c r="A51" i="209" s="1"/>
  <c r="A52" i="209" s="1"/>
  <c r="A53" i="209" s="1"/>
  <c r="A54" i="209" s="1"/>
  <c r="A55" i="209" s="1"/>
  <c r="A56" i="209" s="1"/>
  <c r="A57" i="209" s="1"/>
  <c r="A58" i="209" s="1"/>
  <c r="A59" i="209" s="1"/>
  <c r="A60" i="209" s="1"/>
  <c r="A61" i="209" s="1"/>
  <c r="A62" i="209" s="1"/>
  <c r="A63" i="209" s="1"/>
  <c r="A64" i="209" s="1"/>
  <c r="A65" i="209" s="1"/>
  <c r="A66" i="209" s="1"/>
  <c r="A67" i="209" s="1"/>
  <c r="A68" i="209" s="1"/>
  <c r="A69" i="209" s="1"/>
  <c r="A70" i="209" s="1"/>
  <c r="A71" i="209" s="1"/>
  <c r="A72" i="209" s="1"/>
  <c r="A73" i="209" s="1"/>
  <c r="A74" i="209" s="1"/>
  <c r="A75" i="209" s="1"/>
  <c r="A76" i="209" s="1"/>
  <c r="A77" i="209" s="1"/>
  <c r="A78" i="209" s="1"/>
  <c r="A79" i="209" s="1"/>
  <c r="A80" i="209" s="1"/>
  <c r="A81" i="209" s="1"/>
  <c r="A82" i="209" s="1"/>
  <c r="A83" i="209" s="1"/>
  <c r="A84" i="209" s="1"/>
  <c r="A85" i="209" s="1"/>
  <c r="A86" i="209" s="1"/>
  <c r="A87" i="209" s="1"/>
  <c r="A88" i="209" s="1"/>
  <c r="A89" i="209" s="1"/>
  <c r="A90" i="209" s="1"/>
  <c r="A91" i="209" s="1"/>
  <c r="A7" i="209"/>
  <c r="F1" i="209"/>
  <c r="E1" i="209"/>
  <c r="D1" i="209"/>
  <c r="C1" i="209"/>
  <c r="B1" i="209"/>
  <c r="A8" i="208"/>
  <c r="A9" i="208" s="1"/>
  <c r="A10" i="208" s="1"/>
  <c r="A11" i="208" s="1"/>
  <c r="A12" i="208" s="1"/>
  <c r="A13" i="208" s="1"/>
  <c r="A14" i="208" s="1"/>
  <c r="A15" i="208" s="1"/>
  <c r="A16" i="208" s="1"/>
  <c r="A17" i="208" s="1"/>
  <c r="A18" i="208" s="1"/>
  <c r="A19" i="208" s="1"/>
  <c r="A20" i="208" s="1"/>
  <c r="A21" i="208" s="1"/>
  <c r="A22" i="208" s="1"/>
  <c r="A23" i="208" s="1"/>
  <c r="A24" i="208" s="1"/>
  <c r="A25" i="208" s="1"/>
  <c r="A26" i="208" s="1"/>
  <c r="A27" i="208" s="1"/>
  <c r="A28" i="208" s="1"/>
  <c r="A29" i="208" s="1"/>
  <c r="A30" i="208" s="1"/>
  <c r="A31" i="208" s="1"/>
  <c r="A32" i="208" s="1"/>
  <c r="A33" i="208" s="1"/>
  <c r="A34" i="208" s="1"/>
  <c r="A35" i="208" s="1"/>
  <c r="A36" i="208" s="1"/>
  <c r="A37" i="208" s="1"/>
  <c r="A38" i="208" s="1"/>
  <c r="A39" i="208" s="1"/>
  <c r="A40" i="208" s="1"/>
  <c r="A41" i="208" s="1"/>
  <c r="A42" i="208" s="1"/>
  <c r="A43" i="208" s="1"/>
  <c r="A44" i="208" s="1"/>
  <c r="A45" i="208" s="1"/>
  <c r="A46" i="208" s="1"/>
  <c r="A47" i="208" s="1"/>
  <c r="A48" i="208" s="1"/>
  <c r="A49" i="208" s="1"/>
  <c r="A50" i="208" s="1"/>
  <c r="A51" i="208" s="1"/>
  <c r="A52" i="208" s="1"/>
  <c r="A53" i="208" s="1"/>
  <c r="A54" i="208" s="1"/>
  <c r="A55" i="208" s="1"/>
  <c r="A56" i="208" s="1"/>
  <c r="A57" i="208" s="1"/>
  <c r="A58" i="208" s="1"/>
  <c r="A59" i="208" s="1"/>
  <c r="A60" i="208" s="1"/>
  <c r="A61" i="208" s="1"/>
  <c r="A62" i="208" s="1"/>
  <c r="A63" i="208" s="1"/>
  <c r="A64" i="208" s="1"/>
  <c r="A65" i="208" s="1"/>
  <c r="A66" i="208" s="1"/>
  <c r="A67" i="208" s="1"/>
  <c r="A68" i="208" s="1"/>
  <c r="A69" i="208" s="1"/>
  <c r="A70" i="208" s="1"/>
  <c r="A71" i="208" s="1"/>
  <c r="A72" i="208" s="1"/>
  <c r="A73" i="208" s="1"/>
  <c r="A74" i="208" s="1"/>
  <c r="A75" i="208" s="1"/>
  <c r="A76" i="208" s="1"/>
  <c r="A77" i="208" s="1"/>
  <c r="A78" i="208" s="1"/>
  <c r="A79" i="208" s="1"/>
  <c r="A80" i="208" s="1"/>
  <c r="A81" i="208" s="1"/>
  <c r="A82" i="208" s="1"/>
  <c r="A83" i="208" s="1"/>
  <c r="A84" i="208" s="1"/>
  <c r="A85" i="208" s="1"/>
  <c r="A86" i="208" s="1"/>
  <c r="A87" i="208" s="1"/>
  <c r="A88" i="208" s="1"/>
  <c r="A89" i="208" s="1"/>
  <c r="A90" i="208" s="1"/>
  <c r="A91" i="208" s="1"/>
  <c r="A7" i="208"/>
  <c r="F1" i="208"/>
  <c r="E1" i="208"/>
  <c r="D1" i="208"/>
  <c r="C1" i="208"/>
  <c r="B1" i="208"/>
  <c r="A8" i="207"/>
  <c r="A9" i="207" s="1"/>
  <c r="A10" i="207" s="1"/>
  <c r="A11" i="207" s="1"/>
  <c r="A12" i="207" s="1"/>
  <c r="A13" i="207" s="1"/>
  <c r="A14" i="207" s="1"/>
  <c r="A15" i="207" s="1"/>
  <c r="A16" i="207" s="1"/>
  <c r="A17" i="207" s="1"/>
  <c r="A18" i="207" s="1"/>
  <c r="A19" i="207" s="1"/>
  <c r="A20" i="207" s="1"/>
  <c r="A21" i="207" s="1"/>
  <c r="A22" i="207" s="1"/>
  <c r="A23" i="207" s="1"/>
  <c r="A24" i="207" s="1"/>
  <c r="A25" i="207" s="1"/>
  <c r="A26" i="207" s="1"/>
  <c r="A27" i="207" s="1"/>
  <c r="A28" i="207" s="1"/>
  <c r="A29" i="207" s="1"/>
  <c r="A30" i="207" s="1"/>
  <c r="A31" i="207" s="1"/>
  <c r="A32" i="207" s="1"/>
  <c r="A33" i="207" s="1"/>
  <c r="A34" i="207" s="1"/>
  <c r="A35" i="207" s="1"/>
  <c r="A36" i="207" s="1"/>
  <c r="A37" i="207" s="1"/>
  <c r="A38" i="207" s="1"/>
  <c r="A39" i="207" s="1"/>
  <c r="A40" i="207" s="1"/>
  <c r="A41" i="207" s="1"/>
  <c r="A42" i="207" s="1"/>
  <c r="A43" i="207" s="1"/>
  <c r="A44" i="207" s="1"/>
  <c r="A45" i="207" s="1"/>
  <c r="A46" i="207" s="1"/>
  <c r="A47" i="207" s="1"/>
  <c r="A48" i="207" s="1"/>
  <c r="A49" i="207" s="1"/>
  <c r="A50" i="207" s="1"/>
  <c r="A51" i="207" s="1"/>
  <c r="A52" i="207" s="1"/>
  <c r="A53" i="207" s="1"/>
  <c r="A54" i="207" s="1"/>
  <c r="A55" i="207" s="1"/>
  <c r="A56" i="207" s="1"/>
  <c r="A57" i="207" s="1"/>
  <c r="A58" i="207" s="1"/>
  <c r="A59" i="207" s="1"/>
  <c r="A60" i="207" s="1"/>
  <c r="A61" i="207" s="1"/>
  <c r="A62" i="207" s="1"/>
  <c r="A63" i="207" s="1"/>
  <c r="A64" i="207" s="1"/>
  <c r="A65" i="207" s="1"/>
  <c r="A66" i="207" s="1"/>
  <c r="A67" i="207" s="1"/>
  <c r="A68" i="207" s="1"/>
  <c r="A69" i="207" s="1"/>
  <c r="A70" i="207" s="1"/>
  <c r="A71" i="207" s="1"/>
  <c r="A72" i="207" s="1"/>
  <c r="A73" i="207" s="1"/>
  <c r="A74" i="207" s="1"/>
  <c r="A75" i="207" s="1"/>
  <c r="A76" i="207" s="1"/>
  <c r="A77" i="207" s="1"/>
  <c r="A78" i="207" s="1"/>
  <c r="A79" i="207" s="1"/>
  <c r="A80" i="207" s="1"/>
  <c r="A81" i="207" s="1"/>
  <c r="A82" i="207" s="1"/>
  <c r="A83" i="207" s="1"/>
  <c r="A84" i="207" s="1"/>
  <c r="A85" i="207" s="1"/>
  <c r="A86" i="207" s="1"/>
  <c r="A87" i="207" s="1"/>
  <c r="A88" i="207" s="1"/>
  <c r="A89" i="207" s="1"/>
  <c r="A90" i="207" s="1"/>
  <c r="A91" i="207" s="1"/>
  <c r="A7" i="207"/>
  <c r="F1" i="207"/>
  <c r="E1" i="207"/>
  <c r="D1" i="207"/>
  <c r="C1" i="207"/>
  <c r="B1" i="207"/>
  <c r="A8" i="206"/>
  <c r="A9" i="206" s="1"/>
  <c r="A10" i="206" s="1"/>
  <c r="A11" i="206" s="1"/>
  <c r="A12" i="206" s="1"/>
  <c r="A13" i="206" s="1"/>
  <c r="A14" i="206" s="1"/>
  <c r="A15" i="206" s="1"/>
  <c r="A16" i="206" s="1"/>
  <c r="A17" i="206" s="1"/>
  <c r="A18" i="206" s="1"/>
  <c r="A19" i="206" s="1"/>
  <c r="A20" i="206" s="1"/>
  <c r="A21" i="206" s="1"/>
  <c r="A22" i="206" s="1"/>
  <c r="A23" i="206" s="1"/>
  <c r="A24" i="206" s="1"/>
  <c r="A25" i="206" s="1"/>
  <c r="A26" i="206" s="1"/>
  <c r="A27" i="206" s="1"/>
  <c r="A28" i="206" s="1"/>
  <c r="A29" i="206" s="1"/>
  <c r="A30" i="206" s="1"/>
  <c r="A31" i="206" s="1"/>
  <c r="A32" i="206" s="1"/>
  <c r="A33" i="206" s="1"/>
  <c r="A34" i="206" s="1"/>
  <c r="A35" i="206" s="1"/>
  <c r="A36" i="206" s="1"/>
  <c r="A37" i="206" s="1"/>
  <c r="A38" i="206" s="1"/>
  <c r="A39" i="206" s="1"/>
  <c r="A40" i="206" s="1"/>
  <c r="A41" i="206" s="1"/>
  <c r="A42" i="206" s="1"/>
  <c r="A43" i="206" s="1"/>
  <c r="A44" i="206" s="1"/>
  <c r="A45" i="206" s="1"/>
  <c r="A46" i="206" s="1"/>
  <c r="A47" i="206" s="1"/>
  <c r="A48" i="206" s="1"/>
  <c r="A49" i="206" s="1"/>
  <c r="A50" i="206" s="1"/>
  <c r="A51" i="206" s="1"/>
  <c r="A52" i="206" s="1"/>
  <c r="A53" i="206" s="1"/>
  <c r="A54" i="206" s="1"/>
  <c r="A55" i="206" s="1"/>
  <c r="A56" i="206" s="1"/>
  <c r="A57" i="206" s="1"/>
  <c r="A58" i="206" s="1"/>
  <c r="A59" i="206" s="1"/>
  <c r="A60" i="206" s="1"/>
  <c r="A61" i="206" s="1"/>
  <c r="A62" i="206" s="1"/>
  <c r="A63" i="206" s="1"/>
  <c r="A64" i="206" s="1"/>
  <c r="A65" i="206" s="1"/>
  <c r="A66" i="206" s="1"/>
  <c r="A67" i="206" s="1"/>
  <c r="A68" i="206" s="1"/>
  <c r="A69" i="206" s="1"/>
  <c r="A70" i="206" s="1"/>
  <c r="A71" i="206" s="1"/>
  <c r="A72" i="206" s="1"/>
  <c r="A73" i="206" s="1"/>
  <c r="A74" i="206" s="1"/>
  <c r="A75" i="206" s="1"/>
  <c r="A76" i="206" s="1"/>
  <c r="A77" i="206" s="1"/>
  <c r="A78" i="206" s="1"/>
  <c r="A79" i="206" s="1"/>
  <c r="A80" i="206" s="1"/>
  <c r="A81" i="206" s="1"/>
  <c r="A82" i="206" s="1"/>
  <c r="A83" i="206" s="1"/>
  <c r="A84" i="206" s="1"/>
  <c r="A85" i="206" s="1"/>
  <c r="A86" i="206" s="1"/>
  <c r="A87" i="206" s="1"/>
  <c r="A88" i="206" s="1"/>
  <c r="A89" i="206" s="1"/>
  <c r="A90" i="206" s="1"/>
  <c r="A91" i="206" s="1"/>
  <c r="A7" i="206"/>
  <c r="F1" i="206"/>
  <c r="E1" i="206"/>
  <c r="D1" i="206"/>
  <c r="C1" i="206"/>
  <c r="B1" i="206"/>
  <c r="A8" i="205"/>
  <c r="A9" i="205" s="1"/>
  <c r="A10" i="205" s="1"/>
  <c r="A11" i="205" s="1"/>
  <c r="A12" i="205" s="1"/>
  <c r="A13" i="205" s="1"/>
  <c r="A14" i="205" s="1"/>
  <c r="A15" i="205" s="1"/>
  <c r="A16" i="205" s="1"/>
  <c r="A17" i="205" s="1"/>
  <c r="A18" i="205" s="1"/>
  <c r="A19" i="205" s="1"/>
  <c r="A20" i="205" s="1"/>
  <c r="A21" i="205" s="1"/>
  <c r="A22" i="205" s="1"/>
  <c r="A23" i="205" s="1"/>
  <c r="A24" i="205" s="1"/>
  <c r="A25" i="205" s="1"/>
  <c r="A26" i="205" s="1"/>
  <c r="A27" i="205" s="1"/>
  <c r="A28" i="205" s="1"/>
  <c r="A29" i="205" s="1"/>
  <c r="A30" i="205" s="1"/>
  <c r="A31" i="205" s="1"/>
  <c r="A32" i="205" s="1"/>
  <c r="A33" i="205" s="1"/>
  <c r="A34" i="205" s="1"/>
  <c r="A35" i="205" s="1"/>
  <c r="A36" i="205" s="1"/>
  <c r="A37" i="205" s="1"/>
  <c r="A38" i="205" s="1"/>
  <c r="A39" i="205" s="1"/>
  <c r="A40" i="205" s="1"/>
  <c r="A41" i="205" s="1"/>
  <c r="A42" i="205" s="1"/>
  <c r="A43" i="205" s="1"/>
  <c r="A44" i="205" s="1"/>
  <c r="A45" i="205" s="1"/>
  <c r="A46" i="205" s="1"/>
  <c r="A47" i="205" s="1"/>
  <c r="A48" i="205" s="1"/>
  <c r="A49" i="205" s="1"/>
  <c r="A50" i="205" s="1"/>
  <c r="A51" i="205" s="1"/>
  <c r="A52" i="205" s="1"/>
  <c r="A53" i="205" s="1"/>
  <c r="A54" i="205" s="1"/>
  <c r="A55" i="205" s="1"/>
  <c r="A56" i="205" s="1"/>
  <c r="A57" i="205" s="1"/>
  <c r="A58" i="205" s="1"/>
  <c r="A59" i="205" s="1"/>
  <c r="A60" i="205" s="1"/>
  <c r="A61" i="205" s="1"/>
  <c r="A62" i="205" s="1"/>
  <c r="A63" i="205" s="1"/>
  <c r="A64" i="205" s="1"/>
  <c r="A65" i="205" s="1"/>
  <c r="A66" i="205" s="1"/>
  <c r="A67" i="205" s="1"/>
  <c r="A68" i="205" s="1"/>
  <c r="A69" i="205" s="1"/>
  <c r="A70" i="205" s="1"/>
  <c r="A71" i="205" s="1"/>
  <c r="A72" i="205" s="1"/>
  <c r="A73" i="205" s="1"/>
  <c r="A74" i="205" s="1"/>
  <c r="A75" i="205" s="1"/>
  <c r="A76" i="205" s="1"/>
  <c r="A77" i="205" s="1"/>
  <c r="A78" i="205" s="1"/>
  <c r="A79" i="205" s="1"/>
  <c r="A80" i="205" s="1"/>
  <c r="A81" i="205" s="1"/>
  <c r="A82" i="205" s="1"/>
  <c r="A83" i="205" s="1"/>
  <c r="A84" i="205" s="1"/>
  <c r="A85" i="205" s="1"/>
  <c r="A86" i="205" s="1"/>
  <c r="A87" i="205" s="1"/>
  <c r="A88" i="205" s="1"/>
  <c r="A89" i="205" s="1"/>
  <c r="A90" i="205" s="1"/>
  <c r="A91" i="205" s="1"/>
  <c r="A7" i="205"/>
  <c r="F1" i="205"/>
  <c r="E1" i="205"/>
  <c r="D1" i="205"/>
  <c r="C1" i="205"/>
  <c r="B1" i="205"/>
  <c r="A8" i="204"/>
  <c r="A9" i="204" s="1"/>
  <c r="A10" i="204" s="1"/>
  <c r="A11" i="204" s="1"/>
  <c r="A12" i="204" s="1"/>
  <c r="A13" i="204" s="1"/>
  <c r="A14" i="204" s="1"/>
  <c r="A15" i="204" s="1"/>
  <c r="A16" i="204" s="1"/>
  <c r="A17" i="204" s="1"/>
  <c r="A18" i="204" s="1"/>
  <c r="A19" i="204" s="1"/>
  <c r="A20" i="204" s="1"/>
  <c r="A21" i="204" s="1"/>
  <c r="A22" i="204" s="1"/>
  <c r="A23" i="204" s="1"/>
  <c r="A24" i="204" s="1"/>
  <c r="A25" i="204" s="1"/>
  <c r="A26" i="204" s="1"/>
  <c r="A27" i="204" s="1"/>
  <c r="A28" i="204" s="1"/>
  <c r="A29" i="204" s="1"/>
  <c r="A30" i="204" s="1"/>
  <c r="A31" i="204" s="1"/>
  <c r="A32" i="204" s="1"/>
  <c r="A33" i="204" s="1"/>
  <c r="A34" i="204" s="1"/>
  <c r="A35" i="204" s="1"/>
  <c r="A36" i="204" s="1"/>
  <c r="A37" i="204" s="1"/>
  <c r="A38" i="204" s="1"/>
  <c r="A39" i="204" s="1"/>
  <c r="A40" i="204" s="1"/>
  <c r="A41" i="204" s="1"/>
  <c r="A42" i="204" s="1"/>
  <c r="A43" i="204" s="1"/>
  <c r="A44" i="204" s="1"/>
  <c r="A45" i="204" s="1"/>
  <c r="A46" i="204" s="1"/>
  <c r="A47" i="204" s="1"/>
  <c r="A48" i="204" s="1"/>
  <c r="A49" i="204" s="1"/>
  <c r="A50" i="204" s="1"/>
  <c r="A51" i="204" s="1"/>
  <c r="A52" i="204" s="1"/>
  <c r="A53" i="204" s="1"/>
  <c r="A54" i="204" s="1"/>
  <c r="A55" i="204" s="1"/>
  <c r="A56" i="204" s="1"/>
  <c r="A57" i="204" s="1"/>
  <c r="A58" i="204" s="1"/>
  <c r="A59" i="204" s="1"/>
  <c r="A60" i="204" s="1"/>
  <c r="A61" i="204" s="1"/>
  <c r="A62" i="204" s="1"/>
  <c r="A63" i="204" s="1"/>
  <c r="A64" i="204" s="1"/>
  <c r="A65" i="204" s="1"/>
  <c r="A66" i="204" s="1"/>
  <c r="A67" i="204" s="1"/>
  <c r="A68" i="204" s="1"/>
  <c r="A69" i="204" s="1"/>
  <c r="A70" i="204" s="1"/>
  <c r="A71" i="204" s="1"/>
  <c r="A72" i="204" s="1"/>
  <c r="A73" i="204" s="1"/>
  <c r="A74" i="204" s="1"/>
  <c r="A75" i="204" s="1"/>
  <c r="A76" i="204" s="1"/>
  <c r="A77" i="204" s="1"/>
  <c r="A78" i="204" s="1"/>
  <c r="A79" i="204" s="1"/>
  <c r="A80" i="204" s="1"/>
  <c r="A81" i="204" s="1"/>
  <c r="A82" i="204" s="1"/>
  <c r="A83" i="204" s="1"/>
  <c r="A84" i="204" s="1"/>
  <c r="A85" i="204" s="1"/>
  <c r="A86" i="204" s="1"/>
  <c r="A87" i="204" s="1"/>
  <c r="A88" i="204" s="1"/>
  <c r="A89" i="204" s="1"/>
  <c r="A90" i="204" s="1"/>
  <c r="A91" i="204" s="1"/>
  <c r="A7" i="204"/>
  <c r="F1" i="204"/>
  <c r="E1" i="204"/>
  <c r="D1" i="204"/>
  <c r="C1" i="204"/>
  <c r="B1" i="204"/>
  <c r="A8" i="203"/>
  <c r="A9" i="203" s="1"/>
  <c r="A10" i="203" s="1"/>
  <c r="A11" i="203" s="1"/>
  <c r="A12" i="203" s="1"/>
  <c r="A13" i="203" s="1"/>
  <c r="A14" i="203" s="1"/>
  <c r="A15" i="203" s="1"/>
  <c r="A16" i="203" s="1"/>
  <c r="A17" i="203" s="1"/>
  <c r="A18" i="203" s="1"/>
  <c r="A19" i="203" s="1"/>
  <c r="A20" i="203" s="1"/>
  <c r="A21" i="203" s="1"/>
  <c r="A22" i="203" s="1"/>
  <c r="A23" i="203" s="1"/>
  <c r="A24" i="203" s="1"/>
  <c r="A25" i="203" s="1"/>
  <c r="A26" i="203" s="1"/>
  <c r="A27" i="203" s="1"/>
  <c r="A28" i="203" s="1"/>
  <c r="A29" i="203" s="1"/>
  <c r="A30" i="203" s="1"/>
  <c r="A31" i="203" s="1"/>
  <c r="A32" i="203" s="1"/>
  <c r="A33" i="203" s="1"/>
  <c r="A34" i="203" s="1"/>
  <c r="A35" i="203" s="1"/>
  <c r="A36" i="203" s="1"/>
  <c r="A37" i="203" s="1"/>
  <c r="A38" i="203" s="1"/>
  <c r="A39" i="203" s="1"/>
  <c r="A40" i="203" s="1"/>
  <c r="A41" i="203" s="1"/>
  <c r="A42" i="203" s="1"/>
  <c r="A43" i="203" s="1"/>
  <c r="A44" i="203" s="1"/>
  <c r="A45" i="203" s="1"/>
  <c r="A46" i="203" s="1"/>
  <c r="A47" i="203" s="1"/>
  <c r="A48" i="203" s="1"/>
  <c r="A49" i="203" s="1"/>
  <c r="A50" i="203" s="1"/>
  <c r="A51" i="203" s="1"/>
  <c r="A52" i="203" s="1"/>
  <c r="A53" i="203" s="1"/>
  <c r="A54" i="203" s="1"/>
  <c r="A55" i="203" s="1"/>
  <c r="A56" i="203" s="1"/>
  <c r="A57" i="203" s="1"/>
  <c r="A58" i="203" s="1"/>
  <c r="A59" i="203" s="1"/>
  <c r="A60" i="203" s="1"/>
  <c r="A61" i="203" s="1"/>
  <c r="A62" i="203" s="1"/>
  <c r="A63" i="203" s="1"/>
  <c r="A64" i="203" s="1"/>
  <c r="A65" i="203" s="1"/>
  <c r="A66" i="203" s="1"/>
  <c r="A67" i="203" s="1"/>
  <c r="A68" i="203" s="1"/>
  <c r="A69" i="203" s="1"/>
  <c r="A70" i="203" s="1"/>
  <c r="A71" i="203" s="1"/>
  <c r="A72" i="203" s="1"/>
  <c r="A73" i="203" s="1"/>
  <c r="A74" i="203" s="1"/>
  <c r="A75" i="203" s="1"/>
  <c r="A76" i="203" s="1"/>
  <c r="A77" i="203" s="1"/>
  <c r="A78" i="203" s="1"/>
  <c r="A79" i="203" s="1"/>
  <c r="A80" i="203" s="1"/>
  <c r="A81" i="203" s="1"/>
  <c r="A82" i="203" s="1"/>
  <c r="A83" i="203" s="1"/>
  <c r="A84" i="203" s="1"/>
  <c r="A85" i="203" s="1"/>
  <c r="A86" i="203" s="1"/>
  <c r="A87" i="203" s="1"/>
  <c r="A88" i="203" s="1"/>
  <c r="A89" i="203" s="1"/>
  <c r="A90" i="203" s="1"/>
  <c r="A91" i="203" s="1"/>
  <c r="A7" i="203"/>
  <c r="F1" i="203"/>
  <c r="E1" i="203"/>
  <c r="D1" i="203"/>
  <c r="C1" i="203"/>
  <c r="B1" i="203"/>
  <c r="A8" i="202"/>
  <c r="A9" i="202" s="1"/>
  <c r="A10" i="202" s="1"/>
  <c r="A11" i="202" s="1"/>
  <c r="A12" i="202" s="1"/>
  <c r="A13" i="202" s="1"/>
  <c r="A14" i="202" s="1"/>
  <c r="A15" i="202" s="1"/>
  <c r="A16" i="202" s="1"/>
  <c r="A17" i="202" s="1"/>
  <c r="A18" i="202" s="1"/>
  <c r="A19" i="202" s="1"/>
  <c r="A20" i="202" s="1"/>
  <c r="A21" i="202" s="1"/>
  <c r="A22" i="202" s="1"/>
  <c r="A23" i="202" s="1"/>
  <c r="A24" i="202" s="1"/>
  <c r="A25" i="202" s="1"/>
  <c r="A26" i="202" s="1"/>
  <c r="A27" i="202" s="1"/>
  <c r="A28" i="202" s="1"/>
  <c r="A29" i="202" s="1"/>
  <c r="A30" i="202" s="1"/>
  <c r="A31" i="202" s="1"/>
  <c r="A32" i="202" s="1"/>
  <c r="A33" i="202" s="1"/>
  <c r="A34" i="202" s="1"/>
  <c r="A35" i="202" s="1"/>
  <c r="A36" i="202" s="1"/>
  <c r="A37" i="202" s="1"/>
  <c r="A38" i="202" s="1"/>
  <c r="A39" i="202" s="1"/>
  <c r="A40" i="202" s="1"/>
  <c r="A41" i="202" s="1"/>
  <c r="A42" i="202" s="1"/>
  <c r="A43" i="202" s="1"/>
  <c r="A44" i="202" s="1"/>
  <c r="A45" i="202" s="1"/>
  <c r="A46" i="202" s="1"/>
  <c r="A47" i="202" s="1"/>
  <c r="A48" i="202" s="1"/>
  <c r="A49" i="202" s="1"/>
  <c r="A50" i="202" s="1"/>
  <c r="A51" i="202" s="1"/>
  <c r="A52" i="202" s="1"/>
  <c r="A53" i="202" s="1"/>
  <c r="A54" i="202" s="1"/>
  <c r="A55" i="202" s="1"/>
  <c r="A56" i="202" s="1"/>
  <c r="A57" i="202" s="1"/>
  <c r="A58" i="202" s="1"/>
  <c r="A59" i="202" s="1"/>
  <c r="A60" i="202" s="1"/>
  <c r="A61" i="202" s="1"/>
  <c r="A62" i="202" s="1"/>
  <c r="A63" i="202" s="1"/>
  <c r="A64" i="202" s="1"/>
  <c r="A65" i="202" s="1"/>
  <c r="A66" i="202" s="1"/>
  <c r="A67" i="202" s="1"/>
  <c r="A68" i="202" s="1"/>
  <c r="A69" i="202" s="1"/>
  <c r="A70" i="202" s="1"/>
  <c r="A71" i="202" s="1"/>
  <c r="A72" i="202" s="1"/>
  <c r="A73" i="202" s="1"/>
  <c r="A74" i="202" s="1"/>
  <c r="A75" i="202" s="1"/>
  <c r="A76" i="202" s="1"/>
  <c r="A77" i="202" s="1"/>
  <c r="A78" i="202" s="1"/>
  <c r="A79" i="202" s="1"/>
  <c r="A80" i="202" s="1"/>
  <c r="A81" i="202" s="1"/>
  <c r="A82" i="202" s="1"/>
  <c r="A83" i="202" s="1"/>
  <c r="A84" i="202" s="1"/>
  <c r="A85" i="202" s="1"/>
  <c r="A86" i="202" s="1"/>
  <c r="A87" i="202" s="1"/>
  <c r="A88" i="202" s="1"/>
  <c r="A89" i="202" s="1"/>
  <c r="A90" i="202" s="1"/>
  <c r="A91" i="202" s="1"/>
  <c r="A7" i="202"/>
  <c r="F1" i="202"/>
  <c r="E1" i="202"/>
  <c r="D1" i="202"/>
  <c r="C1" i="202"/>
  <c r="B1" i="202"/>
  <c r="A8" i="201"/>
  <c r="A9" i="201" s="1"/>
  <c r="A10" i="201" s="1"/>
  <c r="A11" i="201" s="1"/>
  <c r="A12" i="201" s="1"/>
  <c r="A13" i="201" s="1"/>
  <c r="A14" i="201" s="1"/>
  <c r="A15" i="201" s="1"/>
  <c r="A16" i="201" s="1"/>
  <c r="A17" i="201" s="1"/>
  <c r="A18" i="201" s="1"/>
  <c r="A19" i="201" s="1"/>
  <c r="A20" i="201" s="1"/>
  <c r="A21" i="201" s="1"/>
  <c r="A22" i="201" s="1"/>
  <c r="A23" i="201" s="1"/>
  <c r="A24" i="201" s="1"/>
  <c r="A25" i="201" s="1"/>
  <c r="A26" i="201" s="1"/>
  <c r="A27" i="201" s="1"/>
  <c r="A28" i="201" s="1"/>
  <c r="A29" i="201" s="1"/>
  <c r="A30" i="201" s="1"/>
  <c r="A31" i="201" s="1"/>
  <c r="A32" i="201" s="1"/>
  <c r="A33" i="201" s="1"/>
  <c r="A34" i="201" s="1"/>
  <c r="A35" i="201" s="1"/>
  <c r="A36" i="201" s="1"/>
  <c r="A37" i="201" s="1"/>
  <c r="A38" i="201" s="1"/>
  <c r="A39" i="201" s="1"/>
  <c r="A40" i="201" s="1"/>
  <c r="A41" i="201" s="1"/>
  <c r="A42" i="201" s="1"/>
  <c r="A43" i="201" s="1"/>
  <c r="A44" i="201" s="1"/>
  <c r="A45" i="201" s="1"/>
  <c r="A46" i="201" s="1"/>
  <c r="A47" i="201" s="1"/>
  <c r="A48" i="201" s="1"/>
  <c r="A49" i="201" s="1"/>
  <c r="A50" i="201" s="1"/>
  <c r="A51" i="201" s="1"/>
  <c r="A52" i="201" s="1"/>
  <c r="A53" i="201" s="1"/>
  <c r="A54" i="201" s="1"/>
  <c r="A55" i="201" s="1"/>
  <c r="A56" i="201" s="1"/>
  <c r="A57" i="201" s="1"/>
  <c r="A58" i="201" s="1"/>
  <c r="A59" i="201" s="1"/>
  <c r="A60" i="201" s="1"/>
  <c r="A61" i="201" s="1"/>
  <c r="A62" i="201" s="1"/>
  <c r="A63" i="201" s="1"/>
  <c r="A64" i="201" s="1"/>
  <c r="A65" i="201" s="1"/>
  <c r="A66" i="201" s="1"/>
  <c r="A67" i="201" s="1"/>
  <c r="A68" i="201" s="1"/>
  <c r="A69" i="201" s="1"/>
  <c r="A70" i="201" s="1"/>
  <c r="A71" i="201" s="1"/>
  <c r="A72" i="201" s="1"/>
  <c r="A73" i="201" s="1"/>
  <c r="A74" i="201" s="1"/>
  <c r="A75" i="201" s="1"/>
  <c r="A76" i="201" s="1"/>
  <c r="A77" i="201" s="1"/>
  <c r="A78" i="201" s="1"/>
  <c r="A79" i="201" s="1"/>
  <c r="A80" i="201" s="1"/>
  <c r="A81" i="201" s="1"/>
  <c r="A82" i="201" s="1"/>
  <c r="A83" i="201" s="1"/>
  <c r="A84" i="201" s="1"/>
  <c r="A85" i="201" s="1"/>
  <c r="A86" i="201" s="1"/>
  <c r="A87" i="201" s="1"/>
  <c r="A88" i="201" s="1"/>
  <c r="A89" i="201" s="1"/>
  <c r="A90" i="201" s="1"/>
  <c r="A91" i="201" s="1"/>
  <c r="A7" i="201"/>
  <c r="F1" i="201"/>
  <c r="E1" i="201"/>
  <c r="D1" i="201"/>
  <c r="C1" i="201"/>
  <c r="B1" i="201"/>
  <c r="A8" i="200"/>
  <c r="A9" i="200" s="1"/>
  <c r="A10" i="200" s="1"/>
  <c r="A11" i="200" s="1"/>
  <c r="A12" i="200" s="1"/>
  <c r="A13" i="200" s="1"/>
  <c r="A14" i="200" s="1"/>
  <c r="A15" i="200" s="1"/>
  <c r="A16" i="200" s="1"/>
  <c r="A17" i="200" s="1"/>
  <c r="A18" i="200" s="1"/>
  <c r="A19" i="200" s="1"/>
  <c r="A20" i="200" s="1"/>
  <c r="A21" i="200" s="1"/>
  <c r="A22" i="200" s="1"/>
  <c r="A23" i="200" s="1"/>
  <c r="A24" i="200" s="1"/>
  <c r="A25" i="200" s="1"/>
  <c r="A26" i="200" s="1"/>
  <c r="A27" i="200" s="1"/>
  <c r="A28" i="200" s="1"/>
  <c r="A29" i="200" s="1"/>
  <c r="A30" i="200" s="1"/>
  <c r="A31" i="200" s="1"/>
  <c r="A32" i="200" s="1"/>
  <c r="A33" i="200" s="1"/>
  <c r="A34" i="200" s="1"/>
  <c r="A35" i="200" s="1"/>
  <c r="A36" i="200" s="1"/>
  <c r="A37" i="200" s="1"/>
  <c r="A38" i="200" s="1"/>
  <c r="A39" i="200" s="1"/>
  <c r="A40" i="200" s="1"/>
  <c r="A41" i="200" s="1"/>
  <c r="A42" i="200" s="1"/>
  <c r="A43" i="200" s="1"/>
  <c r="A44" i="200" s="1"/>
  <c r="A45" i="200" s="1"/>
  <c r="A46" i="200" s="1"/>
  <c r="A47" i="200" s="1"/>
  <c r="A48" i="200" s="1"/>
  <c r="A49" i="200" s="1"/>
  <c r="A50" i="200" s="1"/>
  <c r="A51" i="200" s="1"/>
  <c r="A52" i="200" s="1"/>
  <c r="A53" i="200" s="1"/>
  <c r="A54" i="200" s="1"/>
  <c r="A55" i="200" s="1"/>
  <c r="A56" i="200" s="1"/>
  <c r="A57" i="200" s="1"/>
  <c r="A58" i="200" s="1"/>
  <c r="A59" i="200" s="1"/>
  <c r="A60" i="200" s="1"/>
  <c r="A61" i="200" s="1"/>
  <c r="A62" i="200" s="1"/>
  <c r="A63" i="200" s="1"/>
  <c r="A64" i="200" s="1"/>
  <c r="A65" i="200" s="1"/>
  <c r="A66" i="200" s="1"/>
  <c r="A67" i="200" s="1"/>
  <c r="A68" i="200" s="1"/>
  <c r="A69" i="200" s="1"/>
  <c r="A70" i="200" s="1"/>
  <c r="A71" i="200" s="1"/>
  <c r="A72" i="200" s="1"/>
  <c r="A73" i="200" s="1"/>
  <c r="A74" i="200" s="1"/>
  <c r="A75" i="200" s="1"/>
  <c r="A76" i="200" s="1"/>
  <c r="A77" i="200" s="1"/>
  <c r="A78" i="200" s="1"/>
  <c r="A79" i="200" s="1"/>
  <c r="A80" i="200" s="1"/>
  <c r="A81" i="200" s="1"/>
  <c r="A82" i="200" s="1"/>
  <c r="A83" i="200" s="1"/>
  <c r="A84" i="200" s="1"/>
  <c r="A85" i="200" s="1"/>
  <c r="A86" i="200" s="1"/>
  <c r="A87" i="200" s="1"/>
  <c r="A88" i="200" s="1"/>
  <c r="A89" i="200" s="1"/>
  <c r="A90" i="200" s="1"/>
  <c r="A91" i="200" s="1"/>
  <c r="A7" i="200"/>
  <c r="F1" i="200"/>
  <c r="E1" i="200"/>
  <c r="D1" i="200"/>
  <c r="C1" i="200"/>
  <c r="B1" i="200"/>
  <c r="A8" i="199"/>
  <c r="A9" i="199" s="1"/>
  <c r="A10" i="199" s="1"/>
  <c r="A11" i="199" s="1"/>
  <c r="A12" i="199" s="1"/>
  <c r="A13" i="199" s="1"/>
  <c r="A14" i="199" s="1"/>
  <c r="A15" i="199" s="1"/>
  <c r="A16" i="199" s="1"/>
  <c r="A17" i="199" s="1"/>
  <c r="A18" i="199" s="1"/>
  <c r="A19" i="199" s="1"/>
  <c r="A20" i="199" s="1"/>
  <c r="A21" i="199" s="1"/>
  <c r="A22" i="199" s="1"/>
  <c r="A23" i="199" s="1"/>
  <c r="A24" i="199" s="1"/>
  <c r="A25" i="199" s="1"/>
  <c r="A26" i="199" s="1"/>
  <c r="A27" i="199" s="1"/>
  <c r="A28" i="199" s="1"/>
  <c r="A29" i="199" s="1"/>
  <c r="A30" i="199" s="1"/>
  <c r="A31" i="199" s="1"/>
  <c r="A32" i="199" s="1"/>
  <c r="A33" i="199" s="1"/>
  <c r="A34" i="199" s="1"/>
  <c r="A35" i="199" s="1"/>
  <c r="A36" i="199" s="1"/>
  <c r="A37" i="199" s="1"/>
  <c r="A38" i="199" s="1"/>
  <c r="A39" i="199" s="1"/>
  <c r="A40" i="199" s="1"/>
  <c r="A41" i="199" s="1"/>
  <c r="A42" i="199" s="1"/>
  <c r="A43" i="199" s="1"/>
  <c r="A44" i="199" s="1"/>
  <c r="A45" i="199" s="1"/>
  <c r="A46" i="199" s="1"/>
  <c r="A47" i="199" s="1"/>
  <c r="A48" i="199" s="1"/>
  <c r="A49" i="199" s="1"/>
  <c r="A50" i="199" s="1"/>
  <c r="A51" i="199" s="1"/>
  <c r="A52" i="199" s="1"/>
  <c r="A53" i="199" s="1"/>
  <c r="A54" i="199" s="1"/>
  <c r="A55" i="199" s="1"/>
  <c r="A56" i="199" s="1"/>
  <c r="A57" i="199" s="1"/>
  <c r="A58" i="199" s="1"/>
  <c r="A59" i="199" s="1"/>
  <c r="A60" i="199" s="1"/>
  <c r="A61" i="199" s="1"/>
  <c r="A62" i="199" s="1"/>
  <c r="A63" i="199" s="1"/>
  <c r="A64" i="199" s="1"/>
  <c r="A65" i="199" s="1"/>
  <c r="A66" i="199" s="1"/>
  <c r="A67" i="199" s="1"/>
  <c r="A68" i="199" s="1"/>
  <c r="A69" i="199" s="1"/>
  <c r="A70" i="199" s="1"/>
  <c r="A71" i="199" s="1"/>
  <c r="A72" i="199" s="1"/>
  <c r="A73" i="199" s="1"/>
  <c r="A74" i="199" s="1"/>
  <c r="A75" i="199" s="1"/>
  <c r="A76" i="199" s="1"/>
  <c r="A77" i="199" s="1"/>
  <c r="A78" i="199" s="1"/>
  <c r="A79" i="199" s="1"/>
  <c r="A80" i="199" s="1"/>
  <c r="A81" i="199" s="1"/>
  <c r="A82" i="199" s="1"/>
  <c r="A83" i="199" s="1"/>
  <c r="A84" i="199" s="1"/>
  <c r="A85" i="199" s="1"/>
  <c r="A86" i="199" s="1"/>
  <c r="A87" i="199" s="1"/>
  <c r="A88" i="199" s="1"/>
  <c r="A89" i="199" s="1"/>
  <c r="A90" i="199" s="1"/>
  <c r="A91" i="199" s="1"/>
  <c r="A7" i="199"/>
  <c r="F1" i="199"/>
  <c r="E1" i="199"/>
  <c r="D1" i="199"/>
  <c r="C1" i="199"/>
  <c r="B1" i="199"/>
  <c r="A8" i="198"/>
  <c r="A9" i="198" s="1"/>
  <c r="A10" i="198" s="1"/>
  <c r="A11" i="198" s="1"/>
  <c r="A12" i="198" s="1"/>
  <c r="A13" i="198" s="1"/>
  <c r="A14" i="198" s="1"/>
  <c r="A15" i="198" s="1"/>
  <c r="A16" i="198" s="1"/>
  <c r="A17" i="198" s="1"/>
  <c r="A18" i="198" s="1"/>
  <c r="A19" i="198" s="1"/>
  <c r="A20" i="198" s="1"/>
  <c r="A21" i="198" s="1"/>
  <c r="A22" i="198" s="1"/>
  <c r="A23" i="198" s="1"/>
  <c r="A24" i="198" s="1"/>
  <c r="A25" i="198" s="1"/>
  <c r="A26" i="198" s="1"/>
  <c r="A27" i="198" s="1"/>
  <c r="A28" i="198" s="1"/>
  <c r="A29" i="198" s="1"/>
  <c r="A30" i="198" s="1"/>
  <c r="A31" i="198" s="1"/>
  <c r="A32" i="198" s="1"/>
  <c r="A33" i="198" s="1"/>
  <c r="A34" i="198" s="1"/>
  <c r="A35" i="198" s="1"/>
  <c r="A36" i="198" s="1"/>
  <c r="A37" i="198" s="1"/>
  <c r="A38" i="198" s="1"/>
  <c r="A39" i="198" s="1"/>
  <c r="A40" i="198" s="1"/>
  <c r="A41" i="198" s="1"/>
  <c r="A42" i="198" s="1"/>
  <c r="A43" i="198" s="1"/>
  <c r="A44" i="198" s="1"/>
  <c r="A45" i="198" s="1"/>
  <c r="A46" i="198" s="1"/>
  <c r="A47" i="198" s="1"/>
  <c r="A48" i="198" s="1"/>
  <c r="A49" i="198" s="1"/>
  <c r="A50" i="198" s="1"/>
  <c r="A51" i="198" s="1"/>
  <c r="A52" i="198" s="1"/>
  <c r="A53" i="198" s="1"/>
  <c r="A54" i="198" s="1"/>
  <c r="A55" i="198" s="1"/>
  <c r="A56" i="198" s="1"/>
  <c r="A57" i="198" s="1"/>
  <c r="A58" i="198" s="1"/>
  <c r="A59" i="198" s="1"/>
  <c r="A60" i="198" s="1"/>
  <c r="A61" i="198" s="1"/>
  <c r="A62" i="198" s="1"/>
  <c r="A63" i="198" s="1"/>
  <c r="A64" i="198" s="1"/>
  <c r="A65" i="198" s="1"/>
  <c r="A66" i="198" s="1"/>
  <c r="A67" i="198" s="1"/>
  <c r="A68" i="198" s="1"/>
  <c r="A69" i="198" s="1"/>
  <c r="A70" i="198" s="1"/>
  <c r="A71" i="198" s="1"/>
  <c r="A72" i="198" s="1"/>
  <c r="A73" i="198" s="1"/>
  <c r="A74" i="198" s="1"/>
  <c r="A75" i="198" s="1"/>
  <c r="A76" i="198" s="1"/>
  <c r="A77" i="198" s="1"/>
  <c r="A78" i="198" s="1"/>
  <c r="A79" i="198" s="1"/>
  <c r="A80" i="198" s="1"/>
  <c r="A81" i="198" s="1"/>
  <c r="A82" i="198" s="1"/>
  <c r="A83" i="198" s="1"/>
  <c r="A84" i="198" s="1"/>
  <c r="A85" i="198" s="1"/>
  <c r="A86" i="198" s="1"/>
  <c r="A87" i="198" s="1"/>
  <c r="A88" i="198" s="1"/>
  <c r="A89" i="198" s="1"/>
  <c r="A90" i="198" s="1"/>
  <c r="A91" i="198" s="1"/>
  <c r="A7" i="198"/>
  <c r="F1" i="198"/>
  <c r="E1" i="198"/>
  <c r="D1" i="198"/>
  <c r="C1" i="198"/>
  <c r="B1" i="198"/>
  <c r="A8" i="197"/>
  <c r="A9" i="197" s="1"/>
  <c r="A10" i="197" s="1"/>
  <c r="A11" i="197" s="1"/>
  <c r="A12" i="197" s="1"/>
  <c r="A13" i="197" s="1"/>
  <c r="A14" i="197" s="1"/>
  <c r="A15" i="197" s="1"/>
  <c r="A16" i="197" s="1"/>
  <c r="A17" i="197" s="1"/>
  <c r="A18" i="197" s="1"/>
  <c r="A19" i="197" s="1"/>
  <c r="A20" i="197" s="1"/>
  <c r="A21" i="197" s="1"/>
  <c r="A22" i="197" s="1"/>
  <c r="A23" i="197" s="1"/>
  <c r="A24" i="197" s="1"/>
  <c r="A25" i="197" s="1"/>
  <c r="A26" i="197" s="1"/>
  <c r="A27" i="197" s="1"/>
  <c r="A28" i="197" s="1"/>
  <c r="A29" i="197" s="1"/>
  <c r="A30" i="197" s="1"/>
  <c r="A31" i="197" s="1"/>
  <c r="A32" i="197" s="1"/>
  <c r="A33" i="197" s="1"/>
  <c r="A34" i="197" s="1"/>
  <c r="A35" i="197" s="1"/>
  <c r="A36" i="197" s="1"/>
  <c r="A37" i="197" s="1"/>
  <c r="A38" i="197" s="1"/>
  <c r="A39" i="197" s="1"/>
  <c r="A40" i="197" s="1"/>
  <c r="A41" i="197" s="1"/>
  <c r="A42" i="197" s="1"/>
  <c r="A43" i="197" s="1"/>
  <c r="A44" i="197" s="1"/>
  <c r="A45" i="197" s="1"/>
  <c r="A46" i="197" s="1"/>
  <c r="A47" i="197" s="1"/>
  <c r="A48" i="197" s="1"/>
  <c r="A49" i="197" s="1"/>
  <c r="A50" i="197" s="1"/>
  <c r="A51" i="197" s="1"/>
  <c r="A52" i="197" s="1"/>
  <c r="A53" i="197" s="1"/>
  <c r="A54" i="197" s="1"/>
  <c r="A55" i="197" s="1"/>
  <c r="A56" i="197" s="1"/>
  <c r="A57" i="197" s="1"/>
  <c r="A58" i="197" s="1"/>
  <c r="A59" i="197" s="1"/>
  <c r="A60" i="197" s="1"/>
  <c r="A61" i="197" s="1"/>
  <c r="A62" i="197" s="1"/>
  <c r="A63" i="197" s="1"/>
  <c r="A64" i="197" s="1"/>
  <c r="A65" i="197" s="1"/>
  <c r="A66" i="197" s="1"/>
  <c r="A67" i="197" s="1"/>
  <c r="A68" i="197" s="1"/>
  <c r="A69" i="197" s="1"/>
  <c r="A70" i="197" s="1"/>
  <c r="A71" i="197" s="1"/>
  <c r="A72" i="197" s="1"/>
  <c r="A73" i="197" s="1"/>
  <c r="A74" i="197" s="1"/>
  <c r="A75" i="197" s="1"/>
  <c r="A76" i="197" s="1"/>
  <c r="A77" i="197" s="1"/>
  <c r="A78" i="197" s="1"/>
  <c r="A79" i="197" s="1"/>
  <c r="A80" i="197" s="1"/>
  <c r="A81" i="197" s="1"/>
  <c r="A82" i="197" s="1"/>
  <c r="A83" i="197" s="1"/>
  <c r="A84" i="197" s="1"/>
  <c r="A85" i="197" s="1"/>
  <c r="A86" i="197" s="1"/>
  <c r="A87" i="197" s="1"/>
  <c r="A88" i="197" s="1"/>
  <c r="A89" i="197" s="1"/>
  <c r="A90" i="197" s="1"/>
  <c r="A91" i="197" s="1"/>
  <c r="A7" i="197"/>
  <c r="F1" i="197"/>
  <c r="E1" i="197"/>
  <c r="D1" i="197"/>
  <c r="C1" i="197"/>
  <c r="B1" i="197"/>
  <c r="A8" i="196"/>
  <c r="A9" i="196" s="1"/>
  <c r="A10" i="196" s="1"/>
  <c r="A11" i="196" s="1"/>
  <c r="A12" i="196" s="1"/>
  <c r="A13" i="196" s="1"/>
  <c r="A14" i="196" s="1"/>
  <c r="A15" i="196" s="1"/>
  <c r="A16" i="196" s="1"/>
  <c r="A17" i="196" s="1"/>
  <c r="A18" i="196" s="1"/>
  <c r="A19" i="196" s="1"/>
  <c r="A20" i="196" s="1"/>
  <c r="A21" i="196" s="1"/>
  <c r="A22" i="196" s="1"/>
  <c r="A23" i="196" s="1"/>
  <c r="A24" i="196" s="1"/>
  <c r="A25" i="196" s="1"/>
  <c r="A26" i="196" s="1"/>
  <c r="A27" i="196" s="1"/>
  <c r="A28" i="196" s="1"/>
  <c r="A29" i="196" s="1"/>
  <c r="A30" i="196" s="1"/>
  <c r="A31" i="196" s="1"/>
  <c r="A32" i="196" s="1"/>
  <c r="A33" i="196" s="1"/>
  <c r="A34" i="196" s="1"/>
  <c r="A35" i="196" s="1"/>
  <c r="A36" i="196" s="1"/>
  <c r="A37" i="196" s="1"/>
  <c r="A38" i="196" s="1"/>
  <c r="A39" i="196" s="1"/>
  <c r="A40" i="196" s="1"/>
  <c r="A41" i="196" s="1"/>
  <c r="A42" i="196" s="1"/>
  <c r="A43" i="196" s="1"/>
  <c r="A44" i="196" s="1"/>
  <c r="A45" i="196" s="1"/>
  <c r="A46" i="196" s="1"/>
  <c r="A47" i="196" s="1"/>
  <c r="A48" i="196" s="1"/>
  <c r="A49" i="196" s="1"/>
  <c r="A50" i="196" s="1"/>
  <c r="A51" i="196" s="1"/>
  <c r="A52" i="196" s="1"/>
  <c r="A53" i="196" s="1"/>
  <c r="A54" i="196" s="1"/>
  <c r="A55" i="196" s="1"/>
  <c r="A56" i="196" s="1"/>
  <c r="A57" i="196" s="1"/>
  <c r="A58" i="196" s="1"/>
  <c r="A59" i="196" s="1"/>
  <c r="A60" i="196" s="1"/>
  <c r="A61" i="196" s="1"/>
  <c r="A62" i="196" s="1"/>
  <c r="A63" i="196" s="1"/>
  <c r="A64" i="196" s="1"/>
  <c r="A65" i="196" s="1"/>
  <c r="A66" i="196" s="1"/>
  <c r="A67" i="196" s="1"/>
  <c r="A68" i="196" s="1"/>
  <c r="A69" i="196" s="1"/>
  <c r="A70" i="196" s="1"/>
  <c r="A71" i="196" s="1"/>
  <c r="A72" i="196" s="1"/>
  <c r="A73" i="196" s="1"/>
  <c r="A74" i="196" s="1"/>
  <c r="A75" i="196" s="1"/>
  <c r="A76" i="196" s="1"/>
  <c r="A77" i="196" s="1"/>
  <c r="A78" i="196" s="1"/>
  <c r="A79" i="196" s="1"/>
  <c r="A80" i="196" s="1"/>
  <c r="A81" i="196" s="1"/>
  <c r="A82" i="196" s="1"/>
  <c r="A83" i="196" s="1"/>
  <c r="A84" i="196" s="1"/>
  <c r="A85" i="196" s="1"/>
  <c r="A86" i="196" s="1"/>
  <c r="A87" i="196" s="1"/>
  <c r="A88" i="196" s="1"/>
  <c r="A89" i="196" s="1"/>
  <c r="A90" i="196" s="1"/>
  <c r="A91" i="196" s="1"/>
  <c r="A7" i="196"/>
  <c r="F1" i="196"/>
  <c r="E1" i="196"/>
  <c r="D1" i="196"/>
  <c r="C1" i="196"/>
  <c r="B1" i="196"/>
  <c r="A8" i="195"/>
  <c r="A9" i="195" s="1"/>
  <c r="A10" i="195" s="1"/>
  <c r="A11" i="195" s="1"/>
  <c r="A12" i="195" s="1"/>
  <c r="A13" i="195" s="1"/>
  <c r="A14" i="195" s="1"/>
  <c r="A15" i="195" s="1"/>
  <c r="A16" i="195" s="1"/>
  <c r="A17" i="195" s="1"/>
  <c r="A18" i="195" s="1"/>
  <c r="A19" i="195" s="1"/>
  <c r="A20" i="195" s="1"/>
  <c r="A21" i="195" s="1"/>
  <c r="A22" i="195" s="1"/>
  <c r="A23" i="195" s="1"/>
  <c r="A24" i="195" s="1"/>
  <c r="A25" i="195" s="1"/>
  <c r="A26" i="195" s="1"/>
  <c r="A27" i="195" s="1"/>
  <c r="A28" i="195" s="1"/>
  <c r="A29" i="195" s="1"/>
  <c r="A30" i="195" s="1"/>
  <c r="A31" i="195" s="1"/>
  <c r="A32" i="195" s="1"/>
  <c r="A33" i="195" s="1"/>
  <c r="A34" i="195" s="1"/>
  <c r="A35" i="195" s="1"/>
  <c r="A36" i="195" s="1"/>
  <c r="A37" i="195" s="1"/>
  <c r="A38" i="195" s="1"/>
  <c r="A39" i="195" s="1"/>
  <c r="A40" i="195" s="1"/>
  <c r="A41" i="195" s="1"/>
  <c r="A42" i="195" s="1"/>
  <c r="A43" i="195" s="1"/>
  <c r="A44" i="195" s="1"/>
  <c r="A45" i="195" s="1"/>
  <c r="A46" i="195" s="1"/>
  <c r="A47" i="195" s="1"/>
  <c r="A48" i="195" s="1"/>
  <c r="A49" i="195" s="1"/>
  <c r="A50" i="195" s="1"/>
  <c r="A51" i="195" s="1"/>
  <c r="A52" i="195" s="1"/>
  <c r="A53" i="195" s="1"/>
  <c r="A54" i="195" s="1"/>
  <c r="A55" i="195" s="1"/>
  <c r="A56" i="195" s="1"/>
  <c r="A57" i="195" s="1"/>
  <c r="A58" i="195" s="1"/>
  <c r="A59" i="195" s="1"/>
  <c r="A60" i="195" s="1"/>
  <c r="A61" i="195" s="1"/>
  <c r="A62" i="195" s="1"/>
  <c r="A63" i="195" s="1"/>
  <c r="A64" i="195" s="1"/>
  <c r="A65" i="195" s="1"/>
  <c r="A66" i="195" s="1"/>
  <c r="A67" i="195" s="1"/>
  <c r="A68" i="195" s="1"/>
  <c r="A69" i="195" s="1"/>
  <c r="A70" i="195" s="1"/>
  <c r="A71" i="195" s="1"/>
  <c r="A72" i="195" s="1"/>
  <c r="A73" i="195" s="1"/>
  <c r="A74" i="195" s="1"/>
  <c r="A75" i="195" s="1"/>
  <c r="A76" i="195" s="1"/>
  <c r="A77" i="195" s="1"/>
  <c r="A78" i="195" s="1"/>
  <c r="A79" i="195" s="1"/>
  <c r="A80" i="195" s="1"/>
  <c r="A81" i="195" s="1"/>
  <c r="A82" i="195" s="1"/>
  <c r="A83" i="195" s="1"/>
  <c r="A84" i="195" s="1"/>
  <c r="A85" i="195" s="1"/>
  <c r="A86" i="195" s="1"/>
  <c r="A87" i="195" s="1"/>
  <c r="A88" i="195" s="1"/>
  <c r="A89" i="195" s="1"/>
  <c r="A90" i="195" s="1"/>
  <c r="A91" i="195" s="1"/>
  <c r="A7" i="195"/>
  <c r="F1" i="195"/>
  <c r="E1" i="195"/>
  <c r="D1" i="195"/>
  <c r="C1" i="195"/>
  <c r="B1" i="195"/>
  <c r="A8" i="194"/>
  <c r="A9" i="194" s="1"/>
  <c r="A10" i="194" s="1"/>
  <c r="A11" i="194" s="1"/>
  <c r="A12" i="194" s="1"/>
  <c r="A13" i="194" s="1"/>
  <c r="A14" i="194" s="1"/>
  <c r="A15" i="194" s="1"/>
  <c r="A16" i="194" s="1"/>
  <c r="A17" i="194" s="1"/>
  <c r="A18" i="194" s="1"/>
  <c r="A19" i="194" s="1"/>
  <c r="A20" i="194" s="1"/>
  <c r="A21" i="194" s="1"/>
  <c r="A22" i="194" s="1"/>
  <c r="A23" i="194" s="1"/>
  <c r="A24" i="194" s="1"/>
  <c r="A25" i="194" s="1"/>
  <c r="A26" i="194" s="1"/>
  <c r="A27" i="194" s="1"/>
  <c r="A28" i="194" s="1"/>
  <c r="A29" i="194" s="1"/>
  <c r="A30" i="194" s="1"/>
  <c r="A31" i="194" s="1"/>
  <c r="A32" i="194" s="1"/>
  <c r="A33" i="194" s="1"/>
  <c r="A34" i="194" s="1"/>
  <c r="A35" i="194" s="1"/>
  <c r="A36" i="194" s="1"/>
  <c r="A37" i="194" s="1"/>
  <c r="A38" i="194" s="1"/>
  <c r="A39" i="194" s="1"/>
  <c r="A40" i="194" s="1"/>
  <c r="A41" i="194" s="1"/>
  <c r="A42" i="194" s="1"/>
  <c r="A43" i="194" s="1"/>
  <c r="A44" i="194" s="1"/>
  <c r="A45" i="194" s="1"/>
  <c r="A46" i="194" s="1"/>
  <c r="A47" i="194" s="1"/>
  <c r="A48" i="194" s="1"/>
  <c r="A49" i="194" s="1"/>
  <c r="A50" i="194" s="1"/>
  <c r="A51" i="194" s="1"/>
  <c r="A52" i="194" s="1"/>
  <c r="A53" i="194" s="1"/>
  <c r="A54" i="194" s="1"/>
  <c r="A55" i="194" s="1"/>
  <c r="A56" i="194" s="1"/>
  <c r="A57" i="194" s="1"/>
  <c r="A58" i="194" s="1"/>
  <c r="A59" i="194" s="1"/>
  <c r="A60" i="194" s="1"/>
  <c r="A61" i="194" s="1"/>
  <c r="A62" i="194" s="1"/>
  <c r="A63" i="194" s="1"/>
  <c r="A64" i="194" s="1"/>
  <c r="A65" i="194" s="1"/>
  <c r="A66" i="194" s="1"/>
  <c r="A67" i="194" s="1"/>
  <c r="A68" i="194" s="1"/>
  <c r="A69" i="194" s="1"/>
  <c r="A70" i="194" s="1"/>
  <c r="A71" i="194" s="1"/>
  <c r="A72" i="194" s="1"/>
  <c r="A73" i="194" s="1"/>
  <c r="A74" i="194" s="1"/>
  <c r="A75" i="194" s="1"/>
  <c r="A76" i="194" s="1"/>
  <c r="A77" i="194" s="1"/>
  <c r="A78" i="194" s="1"/>
  <c r="A79" i="194" s="1"/>
  <c r="A80" i="194" s="1"/>
  <c r="A81" i="194" s="1"/>
  <c r="A82" i="194" s="1"/>
  <c r="A83" i="194" s="1"/>
  <c r="A84" i="194" s="1"/>
  <c r="A85" i="194" s="1"/>
  <c r="A86" i="194" s="1"/>
  <c r="A87" i="194" s="1"/>
  <c r="A88" i="194" s="1"/>
  <c r="A89" i="194" s="1"/>
  <c r="A90" i="194" s="1"/>
  <c r="A91" i="194" s="1"/>
  <c r="A7" i="194"/>
  <c r="F1" i="194"/>
  <c r="E1" i="194"/>
  <c r="D1" i="194"/>
  <c r="C1" i="194"/>
  <c r="B1" i="194"/>
  <c r="A8" i="193"/>
  <c r="A9" i="193" s="1"/>
  <c r="A10" i="193" s="1"/>
  <c r="A11" i="193" s="1"/>
  <c r="A12" i="193" s="1"/>
  <c r="A13" i="193" s="1"/>
  <c r="A14" i="193" s="1"/>
  <c r="A15" i="193" s="1"/>
  <c r="A16" i="193" s="1"/>
  <c r="A17" i="193" s="1"/>
  <c r="A18" i="193" s="1"/>
  <c r="A19" i="193" s="1"/>
  <c r="A20" i="193" s="1"/>
  <c r="A21" i="193" s="1"/>
  <c r="A22" i="193" s="1"/>
  <c r="A23" i="193" s="1"/>
  <c r="A24" i="193" s="1"/>
  <c r="A25" i="193" s="1"/>
  <c r="A26" i="193" s="1"/>
  <c r="A27" i="193" s="1"/>
  <c r="A28" i="193" s="1"/>
  <c r="A29" i="193" s="1"/>
  <c r="A30" i="193" s="1"/>
  <c r="A31" i="193" s="1"/>
  <c r="A32" i="193" s="1"/>
  <c r="A33" i="193" s="1"/>
  <c r="A34" i="193" s="1"/>
  <c r="A35" i="193" s="1"/>
  <c r="A36" i="193" s="1"/>
  <c r="A37" i="193" s="1"/>
  <c r="A38" i="193" s="1"/>
  <c r="A39" i="193" s="1"/>
  <c r="A40" i="193" s="1"/>
  <c r="A41" i="193" s="1"/>
  <c r="A42" i="193" s="1"/>
  <c r="A43" i="193" s="1"/>
  <c r="A44" i="193" s="1"/>
  <c r="A45" i="193" s="1"/>
  <c r="A46" i="193" s="1"/>
  <c r="A47" i="193" s="1"/>
  <c r="A48" i="193" s="1"/>
  <c r="A49" i="193" s="1"/>
  <c r="A50" i="193" s="1"/>
  <c r="A51" i="193" s="1"/>
  <c r="A52" i="193" s="1"/>
  <c r="A53" i="193" s="1"/>
  <c r="A54" i="193" s="1"/>
  <c r="A55" i="193" s="1"/>
  <c r="A56" i="193" s="1"/>
  <c r="A57" i="193" s="1"/>
  <c r="A58" i="193" s="1"/>
  <c r="A59" i="193" s="1"/>
  <c r="A60" i="193" s="1"/>
  <c r="A61" i="193" s="1"/>
  <c r="A62" i="193" s="1"/>
  <c r="A63" i="193" s="1"/>
  <c r="A64" i="193" s="1"/>
  <c r="A65" i="193" s="1"/>
  <c r="A66" i="193" s="1"/>
  <c r="A67" i="193" s="1"/>
  <c r="A68" i="193" s="1"/>
  <c r="A69" i="193" s="1"/>
  <c r="A70" i="193" s="1"/>
  <c r="A71" i="193" s="1"/>
  <c r="A72" i="193" s="1"/>
  <c r="A73" i="193" s="1"/>
  <c r="A74" i="193" s="1"/>
  <c r="A75" i="193" s="1"/>
  <c r="A76" i="193" s="1"/>
  <c r="A77" i="193" s="1"/>
  <c r="A78" i="193" s="1"/>
  <c r="A79" i="193" s="1"/>
  <c r="A80" i="193" s="1"/>
  <c r="A81" i="193" s="1"/>
  <c r="A82" i="193" s="1"/>
  <c r="A83" i="193" s="1"/>
  <c r="A84" i="193" s="1"/>
  <c r="A85" i="193" s="1"/>
  <c r="A86" i="193" s="1"/>
  <c r="A87" i="193" s="1"/>
  <c r="A88" i="193" s="1"/>
  <c r="A89" i="193" s="1"/>
  <c r="A90" i="193" s="1"/>
  <c r="A91" i="193" s="1"/>
  <c r="A7" i="193"/>
  <c r="F1" i="193"/>
  <c r="E1" i="193"/>
  <c r="D1" i="193"/>
  <c r="C1" i="193"/>
  <c r="B1" i="193"/>
  <c r="A8" i="192"/>
  <c r="A9" i="192" s="1"/>
  <c r="A10" i="192" s="1"/>
  <c r="A11" i="192" s="1"/>
  <c r="A12" i="192" s="1"/>
  <c r="A13" i="192" s="1"/>
  <c r="A14" i="192" s="1"/>
  <c r="A15" i="192" s="1"/>
  <c r="A16" i="192" s="1"/>
  <c r="A17" i="192" s="1"/>
  <c r="A18" i="192" s="1"/>
  <c r="A19" i="192" s="1"/>
  <c r="A20" i="192" s="1"/>
  <c r="A21" i="192" s="1"/>
  <c r="A22" i="192" s="1"/>
  <c r="A23" i="192" s="1"/>
  <c r="A24" i="192" s="1"/>
  <c r="A25" i="192" s="1"/>
  <c r="A26" i="192" s="1"/>
  <c r="A27" i="192" s="1"/>
  <c r="A28" i="192" s="1"/>
  <c r="A29" i="192" s="1"/>
  <c r="A30" i="192" s="1"/>
  <c r="A31" i="192" s="1"/>
  <c r="A32" i="192" s="1"/>
  <c r="A33" i="192" s="1"/>
  <c r="A34" i="192" s="1"/>
  <c r="A35" i="192" s="1"/>
  <c r="A36" i="192" s="1"/>
  <c r="A37" i="192" s="1"/>
  <c r="A38" i="192" s="1"/>
  <c r="A39" i="192" s="1"/>
  <c r="A40" i="192" s="1"/>
  <c r="A41" i="192" s="1"/>
  <c r="A42" i="192" s="1"/>
  <c r="A43" i="192" s="1"/>
  <c r="A44" i="192" s="1"/>
  <c r="A45" i="192" s="1"/>
  <c r="A46" i="192" s="1"/>
  <c r="A47" i="192" s="1"/>
  <c r="A48" i="192" s="1"/>
  <c r="A49" i="192" s="1"/>
  <c r="A50" i="192" s="1"/>
  <c r="A51" i="192" s="1"/>
  <c r="A52" i="192" s="1"/>
  <c r="A53" i="192" s="1"/>
  <c r="A54" i="192" s="1"/>
  <c r="A55" i="192" s="1"/>
  <c r="A56" i="192" s="1"/>
  <c r="A57" i="192" s="1"/>
  <c r="A58" i="192" s="1"/>
  <c r="A59" i="192" s="1"/>
  <c r="A60" i="192" s="1"/>
  <c r="A61" i="192" s="1"/>
  <c r="A62" i="192" s="1"/>
  <c r="A63" i="192" s="1"/>
  <c r="A64" i="192" s="1"/>
  <c r="A65" i="192" s="1"/>
  <c r="A66" i="192" s="1"/>
  <c r="A67" i="192" s="1"/>
  <c r="A68" i="192" s="1"/>
  <c r="A69" i="192" s="1"/>
  <c r="A70" i="192" s="1"/>
  <c r="A71" i="192" s="1"/>
  <c r="A72" i="192" s="1"/>
  <c r="A73" i="192" s="1"/>
  <c r="A74" i="192" s="1"/>
  <c r="A75" i="192" s="1"/>
  <c r="A76" i="192" s="1"/>
  <c r="A77" i="192" s="1"/>
  <c r="A78" i="192" s="1"/>
  <c r="A79" i="192" s="1"/>
  <c r="A80" i="192" s="1"/>
  <c r="A81" i="192" s="1"/>
  <c r="A82" i="192" s="1"/>
  <c r="A83" i="192" s="1"/>
  <c r="A84" i="192" s="1"/>
  <c r="A85" i="192" s="1"/>
  <c r="A86" i="192" s="1"/>
  <c r="A87" i="192" s="1"/>
  <c r="A88" i="192" s="1"/>
  <c r="A89" i="192" s="1"/>
  <c r="A90" i="192" s="1"/>
  <c r="A91" i="192" s="1"/>
  <c r="A7" i="192"/>
  <c r="F1" i="192"/>
  <c r="E1" i="192"/>
  <c r="D1" i="192"/>
  <c r="C1" i="192"/>
  <c r="B1" i="192"/>
  <c r="A8" i="191"/>
  <c r="A9" i="191" s="1"/>
  <c r="A10" i="191" s="1"/>
  <c r="A11" i="191" s="1"/>
  <c r="A12" i="191" s="1"/>
  <c r="A13" i="191" s="1"/>
  <c r="A14" i="191" s="1"/>
  <c r="A15" i="191" s="1"/>
  <c r="A16" i="191" s="1"/>
  <c r="A17" i="191" s="1"/>
  <c r="A18" i="191" s="1"/>
  <c r="A19" i="191" s="1"/>
  <c r="A20" i="191" s="1"/>
  <c r="A21" i="191" s="1"/>
  <c r="A22" i="191" s="1"/>
  <c r="A23" i="191" s="1"/>
  <c r="A24" i="191" s="1"/>
  <c r="A25" i="191" s="1"/>
  <c r="A26" i="191" s="1"/>
  <c r="A27" i="191" s="1"/>
  <c r="A28" i="191" s="1"/>
  <c r="A29" i="191" s="1"/>
  <c r="A30" i="191" s="1"/>
  <c r="A31" i="191" s="1"/>
  <c r="A32" i="191" s="1"/>
  <c r="A33" i="191" s="1"/>
  <c r="A34" i="191" s="1"/>
  <c r="A35" i="191" s="1"/>
  <c r="A36" i="191" s="1"/>
  <c r="A37" i="191" s="1"/>
  <c r="A38" i="191" s="1"/>
  <c r="A39" i="191" s="1"/>
  <c r="A40" i="191" s="1"/>
  <c r="A41" i="191" s="1"/>
  <c r="A42" i="191" s="1"/>
  <c r="A43" i="191" s="1"/>
  <c r="A44" i="191" s="1"/>
  <c r="A45" i="191" s="1"/>
  <c r="A46" i="191" s="1"/>
  <c r="A47" i="191" s="1"/>
  <c r="A48" i="191" s="1"/>
  <c r="A49" i="191" s="1"/>
  <c r="A50" i="191" s="1"/>
  <c r="A51" i="191" s="1"/>
  <c r="A52" i="191" s="1"/>
  <c r="A53" i="191" s="1"/>
  <c r="A54" i="191" s="1"/>
  <c r="A55" i="191" s="1"/>
  <c r="A56" i="191" s="1"/>
  <c r="A57" i="191" s="1"/>
  <c r="A58" i="191" s="1"/>
  <c r="A59" i="191" s="1"/>
  <c r="A60" i="191" s="1"/>
  <c r="A61" i="191" s="1"/>
  <c r="A62" i="191" s="1"/>
  <c r="A63" i="191" s="1"/>
  <c r="A64" i="191" s="1"/>
  <c r="A65" i="191" s="1"/>
  <c r="A66" i="191" s="1"/>
  <c r="A67" i="191" s="1"/>
  <c r="A68" i="191" s="1"/>
  <c r="A69" i="191" s="1"/>
  <c r="A70" i="191" s="1"/>
  <c r="A71" i="191" s="1"/>
  <c r="A72" i="191" s="1"/>
  <c r="A73" i="191" s="1"/>
  <c r="A74" i="191" s="1"/>
  <c r="A75" i="191" s="1"/>
  <c r="A76" i="191" s="1"/>
  <c r="A77" i="191" s="1"/>
  <c r="A78" i="191" s="1"/>
  <c r="A79" i="191" s="1"/>
  <c r="A80" i="191" s="1"/>
  <c r="A81" i="191" s="1"/>
  <c r="A82" i="191" s="1"/>
  <c r="A83" i="191" s="1"/>
  <c r="A84" i="191" s="1"/>
  <c r="A85" i="191" s="1"/>
  <c r="A86" i="191" s="1"/>
  <c r="A87" i="191" s="1"/>
  <c r="A88" i="191" s="1"/>
  <c r="A89" i="191" s="1"/>
  <c r="A90" i="191" s="1"/>
  <c r="A91" i="191" s="1"/>
  <c r="A7" i="191"/>
  <c r="F1" i="191"/>
  <c r="E1" i="191"/>
  <c r="D1" i="191"/>
  <c r="C1" i="191"/>
  <c r="B1" i="191"/>
  <c r="A8" i="190"/>
  <c r="A9" i="190" s="1"/>
  <c r="A10" i="190" s="1"/>
  <c r="A11" i="190" s="1"/>
  <c r="A12" i="190" s="1"/>
  <c r="A13" i="190" s="1"/>
  <c r="A14" i="190" s="1"/>
  <c r="A15" i="190" s="1"/>
  <c r="A16" i="190" s="1"/>
  <c r="A17" i="190" s="1"/>
  <c r="A18" i="190" s="1"/>
  <c r="A19" i="190" s="1"/>
  <c r="A20" i="190" s="1"/>
  <c r="A21" i="190" s="1"/>
  <c r="A22" i="190" s="1"/>
  <c r="A23" i="190" s="1"/>
  <c r="A24" i="190" s="1"/>
  <c r="A25" i="190" s="1"/>
  <c r="A26" i="190" s="1"/>
  <c r="A27" i="190" s="1"/>
  <c r="A28" i="190" s="1"/>
  <c r="A29" i="190" s="1"/>
  <c r="A30" i="190" s="1"/>
  <c r="A31" i="190" s="1"/>
  <c r="A32" i="190" s="1"/>
  <c r="A33" i="190" s="1"/>
  <c r="A34" i="190" s="1"/>
  <c r="A35" i="190" s="1"/>
  <c r="A36" i="190" s="1"/>
  <c r="A37" i="190" s="1"/>
  <c r="A38" i="190" s="1"/>
  <c r="A39" i="190" s="1"/>
  <c r="A40" i="190" s="1"/>
  <c r="A41" i="190" s="1"/>
  <c r="A42" i="190" s="1"/>
  <c r="A43" i="190" s="1"/>
  <c r="A44" i="190" s="1"/>
  <c r="A45" i="190" s="1"/>
  <c r="A46" i="190" s="1"/>
  <c r="A47" i="190" s="1"/>
  <c r="A48" i="190" s="1"/>
  <c r="A49" i="190" s="1"/>
  <c r="A50" i="190" s="1"/>
  <c r="A51" i="190" s="1"/>
  <c r="A52" i="190" s="1"/>
  <c r="A53" i="190" s="1"/>
  <c r="A54" i="190" s="1"/>
  <c r="A55" i="190" s="1"/>
  <c r="A56" i="190" s="1"/>
  <c r="A57" i="190" s="1"/>
  <c r="A58" i="190" s="1"/>
  <c r="A59" i="190" s="1"/>
  <c r="A60" i="190" s="1"/>
  <c r="A61" i="190" s="1"/>
  <c r="A62" i="190" s="1"/>
  <c r="A63" i="190" s="1"/>
  <c r="A64" i="190" s="1"/>
  <c r="A65" i="190" s="1"/>
  <c r="A66" i="190" s="1"/>
  <c r="A67" i="190" s="1"/>
  <c r="A68" i="190" s="1"/>
  <c r="A69" i="190" s="1"/>
  <c r="A70" i="190" s="1"/>
  <c r="A71" i="190" s="1"/>
  <c r="A72" i="190" s="1"/>
  <c r="A73" i="190" s="1"/>
  <c r="A74" i="190" s="1"/>
  <c r="A75" i="190" s="1"/>
  <c r="A76" i="190" s="1"/>
  <c r="A77" i="190" s="1"/>
  <c r="A78" i="190" s="1"/>
  <c r="A79" i="190" s="1"/>
  <c r="A80" i="190" s="1"/>
  <c r="A81" i="190" s="1"/>
  <c r="A82" i="190" s="1"/>
  <c r="A83" i="190" s="1"/>
  <c r="A84" i="190" s="1"/>
  <c r="A85" i="190" s="1"/>
  <c r="A86" i="190" s="1"/>
  <c r="A87" i="190" s="1"/>
  <c r="A88" i="190" s="1"/>
  <c r="A89" i="190" s="1"/>
  <c r="A90" i="190" s="1"/>
  <c r="A91" i="190" s="1"/>
  <c r="A7" i="190"/>
  <c r="F1" i="190"/>
  <c r="E1" i="190"/>
  <c r="D1" i="190"/>
  <c r="C1" i="190"/>
  <c r="B1" i="190"/>
  <c r="A8" i="189"/>
  <c r="A9" i="189" s="1"/>
  <c r="A10" i="189" s="1"/>
  <c r="A11" i="189" s="1"/>
  <c r="A12" i="189" s="1"/>
  <c r="A13" i="189" s="1"/>
  <c r="A14" i="189" s="1"/>
  <c r="A15" i="189" s="1"/>
  <c r="A16" i="189" s="1"/>
  <c r="A17" i="189" s="1"/>
  <c r="A18" i="189" s="1"/>
  <c r="A19" i="189" s="1"/>
  <c r="A20" i="189" s="1"/>
  <c r="A21" i="189" s="1"/>
  <c r="A22" i="189" s="1"/>
  <c r="A23" i="189" s="1"/>
  <c r="A24" i="189" s="1"/>
  <c r="A25" i="189" s="1"/>
  <c r="A26" i="189" s="1"/>
  <c r="A27" i="189" s="1"/>
  <c r="A28" i="189" s="1"/>
  <c r="A29" i="189" s="1"/>
  <c r="A30" i="189" s="1"/>
  <c r="A31" i="189" s="1"/>
  <c r="A32" i="189" s="1"/>
  <c r="A33" i="189" s="1"/>
  <c r="A34" i="189" s="1"/>
  <c r="A35" i="189" s="1"/>
  <c r="A36" i="189" s="1"/>
  <c r="A37" i="189" s="1"/>
  <c r="A38" i="189" s="1"/>
  <c r="A39" i="189" s="1"/>
  <c r="A40" i="189" s="1"/>
  <c r="A41" i="189" s="1"/>
  <c r="A42" i="189" s="1"/>
  <c r="A43" i="189" s="1"/>
  <c r="A44" i="189" s="1"/>
  <c r="A45" i="189" s="1"/>
  <c r="A46" i="189" s="1"/>
  <c r="A47" i="189" s="1"/>
  <c r="A48" i="189" s="1"/>
  <c r="A49" i="189" s="1"/>
  <c r="A50" i="189" s="1"/>
  <c r="A51" i="189" s="1"/>
  <c r="A52" i="189" s="1"/>
  <c r="A53" i="189" s="1"/>
  <c r="A54" i="189" s="1"/>
  <c r="A55" i="189" s="1"/>
  <c r="A56" i="189" s="1"/>
  <c r="A57" i="189" s="1"/>
  <c r="A58" i="189" s="1"/>
  <c r="A59" i="189" s="1"/>
  <c r="A60" i="189" s="1"/>
  <c r="A61" i="189" s="1"/>
  <c r="A62" i="189" s="1"/>
  <c r="A63" i="189" s="1"/>
  <c r="A64" i="189" s="1"/>
  <c r="A65" i="189" s="1"/>
  <c r="A66" i="189" s="1"/>
  <c r="A67" i="189" s="1"/>
  <c r="A68" i="189" s="1"/>
  <c r="A69" i="189" s="1"/>
  <c r="A70" i="189" s="1"/>
  <c r="A71" i="189" s="1"/>
  <c r="A72" i="189" s="1"/>
  <c r="A73" i="189" s="1"/>
  <c r="A74" i="189" s="1"/>
  <c r="A75" i="189" s="1"/>
  <c r="A76" i="189" s="1"/>
  <c r="A77" i="189" s="1"/>
  <c r="A78" i="189" s="1"/>
  <c r="A79" i="189" s="1"/>
  <c r="A80" i="189" s="1"/>
  <c r="A81" i="189" s="1"/>
  <c r="A82" i="189" s="1"/>
  <c r="A83" i="189" s="1"/>
  <c r="A84" i="189" s="1"/>
  <c r="A85" i="189" s="1"/>
  <c r="A86" i="189" s="1"/>
  <c r="A87" i="189" s="1"/>
  <c r="A88" i="189" s="1"/>
  <c r="A89" i="189" s="1"/>
  <c r="A90" i="189" s="1"/>
  <c r="A91" i="189" s="1"/>
  <c r="A7" i="189"/>
  <c r="F1" i="189"/>
  <c r="E1" i="189"/>
  <c r="D1" i="189"/>
  <c r="C1" i="189"/>
  <c r="B1" i="189"/>
  <c r="A8" i="188"/>
  <c r="A9" i="188" s="1"/>
  <c r="A10" i="188" s="1"/>
  <c r="A11" i="188" s="1"/>
  <c r="A12" i="188" s="1"/>
  <c r="A13" i="188" s="1"/>
  <c r="A14" i="188" s="1"/>
  <c r="A15" i="188" s="1"/>
  <c r="A16" i="188" s="1"/>
  <c r="A17" i="188" s="1"/>
  <c r="A18" i="188" s="1"/>
  <c r="A19" i="188" s="1"/>
  <c r="A20" i="188" s="1"/>
  <c r="A21" i="188" s="1"/>
  <c r="A22" i="188" s="1"/>
  <c r="A23" i="188" s="1"/>
  <c r="A24" i="188" s="1"/>
  <c r="A25" i="188" s="1"/>
  <c r="A26" i="188" s="1"/>
  <c r="A27" i="188" s="1"/>
  <c r="A28" i="188" s="1"/>
  <c r="A29" i="188" s="1"/>
  <c r="A30" i="188" s="1"/>
  <c r="A31" i="188" s="1"/>
  <c r="A32" i="188" s="1"/>
  <c r="A33" i="188" s="1"/>
  <c r="A34" i="188" s="1"/>
  <c r="A35" i="188" s="1"/>
  <c r="A36" i="188" s="1"/>
  <c r="A37" i="188" s="1"/>
  <c r="A38" i="188" s="1"/>
  <c r="A39" i="188" s="1"/>
  <c r="A40" i="188" s="1"/>
  <c r="A41" i="188" s="1"/>
  <c r="A42" i="188" s="1"/>
  <c r="A43" i="188" s="1"/>
  <c r="A44" i="188" s="1"/>
  <c r="A45" i="188" s="1"/>
  <c r="A46" i="188" s="1"/>
  <c r="A47" i="188" s="1"/>
  <c r="A48" i="188" s="1"/>
  <c r="A49" i="188" s="1"/>
  <c r="A50" i="188" s="1"/>
  <c r="A51" i="188" s="1"/>
  <c r="A52" i="188" s="1"/>
  <c r="A53" i="188" s="1"/>
  <c r="A54" i="188" s="1"/>
  <c r="A55" i="188" s="1"/>
  <c r="A56" i="188" s="1"/>
  <c r="A57" i="188" s="1"/>
  <c r="A58" i="188" s="1"/>
  <c r="A59" i="188" s="1"/>
  <c r="A60" i="188" s="1"/>
  <c r="A61" i="188" s="1"/>
  <c r="A62" i="188" s="1"/>
  <c r="A63" i="188" s="1"/>
  <c r="A64" i="188" s="1"/>
  <c r="A65" i="188" s="1"/>
  <c r="A66" i="188" s="1"/>
  <c r="A67" i="188" s="1"/>
  <c r="A68" i="188" s="1"/>
  <c r="A69" i="188" s="1"/>
  <c r="A70" i="188" s="1"/>
  <c r="A71" i="188" s="1"/>
  <c r="A72" i="188" s="1"/>
  <c r="A73" i="188" s="1"/>
  <c r="A74" i="188" s="1"/>
  <c r="A75" i="188" s="1"/>
  <c r="A76" i="188" s="1"/>
  <c r="A77" i="188" s="1"/>
  <c r="A78" i="188" s="1"/>
  <c r="A79" i="188" s="1"/>
  <c r="A80" i="188" s="1"/>
  <c r="A81" i="188" s="1"/>
  <c r="A82" i="188" s="1"/>
  <c r="A83" i="188" s="1"/>
  <c r="A84" i="188" s="1"/>
  <c r="A85" i="188" s="1"/>
  <c r="A86" i="188" s="1"/>
  <c r="A87" i="188" s="1"/>
  <c r="A88" i="188" s="1"/>
  <c r="A89" i="188" s="1"/>
  <c r="A90" i="188" s="1"/>
  <c r="A91" i="188" s="1"/>
  <c r="A7" i="188"/>
  <c r="F1" i="188"/>
  <c r="E1" i="188"/>
  <c r="D1" i="188"/>
  <c r="C1" i="188"/>
  <c r="B1" i="188"/>
  <c r="A8" i="187"/>
  <c r="A9" i="187" s="1"/>
  <c r="A10" i="187" s="1"/>
  <c r="A11" i="187" s="1"/>
  <c r="A12" i="187" s="1"/>
  <c r="A13" i="187" s="1"/>
  <c r="A14" i="187" s="1"/>
  <c r="A15" i="187" s="1"/>
  <c r="A16" i="187" s="1"/>
  <c r="A17" i="187" s="1"/>
  <c r="A18" i="187" s="1"/>
  <c r="A19" i="187" s="1"/>
  <c r="A20" i="187" s="1"/>
  <c r="A21" i="187" s="1"/>
  <c r="A22" i="187" s="1"/>
  <c r="A23" i="187" s="1"/>
  <c r="A24" i="187" s="1"/>
  <c r="A25" i="187" s="1"/>
  <c r="A26" i="187" s="1"/>
  <c r="A27" i="187" s="1"/>
  <c r="A28" i="187" s="1"/>
  <c r="A29" i="187" s="1"/>
  <c r="A30" i="187" s="1"/>
  <c r="A31" i="187" s="1"/>
  <c r="A32" i="187" s="1"/>
  <c r="A33" i="187" s="1"/>
  <c r="A34" i="187" s="1"/>
  <c r="A35" i="187" s="1"/>
  <c r="A36" i="187" s="1"/>
  <c r="A37" i="187" s="1"/>
  <c r="A38" i="187" s="1"/>
  <c r="A39" i="187" s="1"/>
  <c r="A40" i="187" s="1"/>
  <c r="A41" i="187" s="1"/>
  <c r="A42" i="187" s="1"/>
  <c r="A43" i="187" s="1"/>
  <c r="A44" i="187" s="1"/>
  <c r="A45" i="187" s="1"/>
  <c r="A46" i="187" s="1"/>
  <c r="A47" i="187" s="1"/>
  <c r="A48" i="187" s="1"/>
  <c r="A49" i="187" s="1"/>
  <c r="A50" i="187" s="1"/>
  <c r="A51" i="187" s="1"/>
  <c r="A52" i="187" s="1"/>
  <c r="A53" i="187" s="1"/>
  <c r="A54" i="187" s="1"/>
  <c r="A55" i="187" s="1"/>
  <c r="A56" i="187" s="1"/>
  <c r="A57" i="187" s="1"/>
  <c r="A58" i="187" s="1"/>
  <c r="A59" i="187" s="1"/>
  <c r="A60" i="187" s="1"/>
  <c r="A61" i="187" s="1"/>
  <c r="A62" i="187" s="1"/>
  <c r="A63" i="187" s="1"/>
  <c r="A64" i="187" s="1"/>
  <c r="A65" i="187" s="1"/>
  <c r="A66" i="187" s="1"/>
  <c r="A67" i="187" s="1"/>
  <c r="A68" i="187" s="1"/>
  <c r="A69" i="187" s="1"/>
  <c r="A70" i="187" s="1"/>
  <c r="A71" i="187" s="1"/>
  <c r="A72" i="187" s="1"/>
  <c r="A73" i="187" s="1"/>
  <c r="A74" i="187" s="1"/>
  <c r="A75" i="187" s="1"/>
  <c r="A76" i="187" s="1"/>
  <c r="A77" i="187" s="1"/>
  <c r="A78" i="187" s="1"/>
  <c r="A79" i="187" s="1"/>
  <c r="A80" i="187" s="1"/>
  <c r="A81" i="187" s="1"/>
  <c r="A82" i="187" s="1"/>
  <c r="A83" i="187" s="1"/>
  <c r="A84" i="187" s="1"/>
  <c r="A85" i="187" s="1"/>
  <c r="A86" i="187" s="1"/>
  <c r="A87" i="187" s="1"/>
  <c r="A88" i="187" s="1"/>
  <c r="A89" i="187" s="1"/>
  <c r="A90" i="187" s="1"/>
  <c r="A91" i="187" s="1"/>
  <c r="A7" i="187"/>
  <c r="F1" i="187"/>
  <c r="E1" i="187"/>
  <c r="D1" i="187"/>
  <c r="C1" i="187"/>
  <c r="B1" i="187"/>
  <c r="A8" i="186"/>
  <c r="A9" i="186" s="1"/>
  <c r="A10" i="186" s="1"/>
  <c r="A11" i="186" s="1"/>
  <c r="A12" i="186" s="1"/>
  <c r="A13" i="186" s="1"/>
  <c r="A14" i="186" s="1"/>
  <c r="A15" i="186" s="1"/>
  <c r="A16" i="186" s="1"/>
  <c r="A17" i="186" s="1"/>
  <c r="A18" i="186" s="1"/>
  <c r="A19" i="186" s="1"/>
  <c r="A20" i="186" s="1"/>
  <c r="A21" i="186" s="1"/>
  <c r="A22" i="186" s="1"/>
  <c r="A23" i="186" s="1"/>
  <c r="A24" i="186" s="1"/>
  <c r="A25" i="186" s="1"/>
  <c r="A26" i="186" s="1"/>
  <c r="A27" i="186" s="1"/>
  <c r="A28" i="186" s="1"/>
  <c r="A29" i="186" s="1"/>
  <c r="A30" i="186" s="1"/>
  <c r="A31" i="186" s="1"/>
  <c r="A32" i="186" s="1"/>
  <c r="A33" i="186" s="1"/>
  <c r="A34" i="186" s="1"/>
  <c r="A35" i="186" s="1"/>
  <c r="A36" i="186" s="1"/>
  <c r="A37" i="186" s="1"/>
  <c r="A38" i="186" s="1"/>
  <c r="A39" i="186" s="1"/>
  <c r="A40" i="186" s="1"/>
  <c r="A41" i="186" s="1"/>
  <c r="A42" i="186" s="1"/>
  <c r="A43" i="186" s="1"/>
  <c r="A44" i="186" s="1"/>
  <c r="A45" i="186" s="1"/>
  <c r="A46" i="186" s="1"/>
  <c r="A47" i="186" s="1"/>
  <c r="A48" i="186" s="1"/>
  <c r="A49" i="186" s="1"/>
  <c r="A50" i="186" s="1"/>
  <c r="A51" i="186" s="1"/>
  <c r="A52" i="186" s="1"/>
  <c r="A53" i="186" s="1"/>
  <c r="A54" i="186" s="1"/>
  <c r="A55" i="186" s="1"/>
  <c r="A56" i="186" s="1"/>
  <c r="A57" i="186" s="1"/>
  <c r="A58" i="186" s="1"/>
  <c r="A59" i="186" s="1"/>
  <c r="A60" i="186" s="1"/>
  <c r="A61" i="186" s="1"/>
  <c r="A62" i="186" s="1"/>
  <c r="A63" i="186" s="1"/>
  <c r="A64" i="186" s="1"/>
  <c r="A65" i="186" s="1"/>
  <c r="A66" i="186" s="1"/>
  <c r="A67" i="186" s="1"/>
  <c r="A68" i="186" s="1"/>
  <c r="A69" i="186" s="1"/>
  <c r="A70" i="186" s="1"/>
  <c r="A71" i="186" s="1"/>
  <c r="A72" i="186" s="1"/>
  <c r="A73" i="186" s="1"/>
  <c r="A74" i="186" s="1"/>
  <c r="A75" i="186" s="1"/>
  <c r="A76" i="186" s="1"/>
  <c r="A77" i="186" s="1"/>
  <c r="A78" i="186" s="1"/>
  <c r="A79" i="186" s="1"/>
  <c r="A80" i="186" s="1"/>
  <c r="A81" i="186" s="1"/>
  <c r="A82" i="186" s="1"/>
  <c r="A83" i="186" s="1"/>
  <c r="A84" i="186" s="1"/>
  <c r="A85" i="186" s="1"/>
  <c r="A86" i="186" s="1"/>
  <c r="A87" i="186" s="1"/>
  <c r="A88" i="186" s="1"/>
  <c r="A89" i="186" s="1"/>
  <c r="A90" i="186" s="1"/>
  <c r="A91" i="186" s="1"/>
  <c r="A7" i="186"/>
  <c r="F1" i="186"/>
  <c r="E1" i="186"/>
  <c r="D1" i="186"/>
  <c r="C1" i="186"/>
  <c r="B1" i="186"/>
  <c r="A8" i="185"/>
  <c r="A9" i="185" s="1"/>
  <c r="A10" i="185" s="1"/>
  <c r="A11" i="185" s="1"/>
  <c r="A12" i="185" s="1"/>
  <c r="A13" i="185" s="1"/>
  <c r="A14" i="185" s="1"/>
  <c r="A15" i="185" s="1"/>
  <c r="A16" i="185" s="1"/>
  <c r="A17" i="185" s="1"/>
  <c r="A18" i="185" s="1"/>
  <c r="A19" i="185" s="1"/>
  <c r="A20" i="185" s="1"/>
  <c r="A21" i="185" s="1"/>
  <c r="A22" i="185" s="1"/>
  <c r="A23" i="185" s="1"/>
  <c r="A24" i="185" s="1"/>
  <c r="A25" i="185" s="1"/>
  <c r="A26" i="185" s="1"/>
  <c r="A27" i="185" s="1"/>
  <c r="A28" i="185" s="1"/>
  <c r="A29" i="185" s="1"/>
  <c r="A30" i="185" s="1"/>
  <c r="A31" i="185" s="1"/>
  <c r="A32" i="185" s="1"/>
  <c r="A33" i="185" s="1"/>
  <c r="A34" i="185" s="1"/>
  <c r="A35" i="185" s="1"/>
  <c r="A36" i="185" s="1"/>
  <c r="A37" i="185" s="1"/>
  <c r="A38" i="185" s="1"/>
  <c r="A39" i="185" s="1"/>
  <c r="A40" i="185" s="1"/>
  <c r="A41" i="185" s="1"/>
  <c r="A42" i="185" s="1"/>
  <c r="A43" i="185" s="1"/>
  <c r="A44" i="185" s="1"/>
  <c r="A45" i="185" s="1"/>
  <c r="A46" i="185" s="1"/>
  <c r="A47" i="185" s="1"/>
  <c r="A48" i="185" s="1"/>
  <c r="A49" i="185" s="1"/>
  <c r="A50" i="185" s="1"/>
  <c r="A51" i="185" s="1"/>
  <c r="A52" i="185" s="1"/>
  <c r="A53" i="185" s="1"/>
  <c r="A54" i="185" s="1"/>
  <c r="A55" i="185" s="1"/>
  <c r="A56" i="185" s="1"/>
  <c r="A57" i="185" s="1"/>
  <c r="A58" i="185" s="1"/>
  <c r="A59" i="185" s="1"/>
  <c r="A60" i="185" s="1"/>
  <c r="A61" i="185" s="1"/>
  <c r="A62" i="185" s="1"/>
  <c r="A63" i="185" s="1"/>
  <c r="A64" i="185" s="1"/>
  <c r="A65" i="185" s="1"/>
  <c r="A66" i="185" s="1"/>
  <c r="A67" i="185" s="1"/>
  <c r="A68" i="185" s="1"/>
  <c r="A69" i="185" s="1"/>
  <c r="A70" i="185" s="1"/>
  <c r="A71" i="185" s="1"/>
  <c r="A72" i="185" s="1"/>
  <c r="A73" i="185" s="1"/>
  <c r="A74" i="185" s="1"/>
  <c r="A75" i="185" s="1"/>
  <c r="A76" i="185" s="1"/>
  <c r="A77" i="185" s="1"/>
  <c r="A78" i="185" s="1"/>
  <c r="A79" i="185" s="1"/>
  <c r="A80" i="185" s="1"/>
  <c r="A81" i="185" s="1"/>
  <c r="A82" i="185" s="1"/>
  <c r="A83" i="185" s="1"/>
  <c r="A84" i="185" s="1"/>
  <c r="A85" i="185" s="1"/>
  <c r="A86" i="185" s="1"/>
  <c r="A87" i="185" s="1"/>
  <c r="A88" i="185" s="1"/>
  <c r="A89" i="185" s="1"/>
  <c r="A90" i="185" s="1"/>
  <c r="A91" i="185" s="1"/>
  <c r="A7" i="185"/>
  <c r="F1" i="185"/>
  <c r="E1" i="185"/>
  <c r="D1" i="185"/>
  <c r="C1" i="185"/>
  <c r="B1" i="185"/>
  <c r="A8" i="184"/>
  <c r="A9" i="184" s="1"/>
  <c r="A10" i="184" s="1"/>
  <c r="A11" i="184" s="1"/>
  <c r="A12" i="184" s="1"/>
  <c r="A13" i="184" s="1"/>
  <c r="A14" i="184" s="1"/>
  <c r="A15" i="184" s="1"/>
  <c r="A16" i="184" s="1"/>
  <c r="A17" i="184" s="1"/>
  <c r="A18" i="184" s="1"/>
  <c r="A19" i="184" s="1"/>
  <c r="A20" i="184" s="1"/>
  <c r="A21" i="184" s="1"/>
  <c r="A22" i="184" s="1"/>
  <c r="A23" i="184" s="1"/>
  <c r="A24" i="184" s="1"/>
  <c r="A25" i="184" s="1"/>
  <c r="A26" i="184" s="1"/>
  <c r="A27" i="184" s="1"/>
  <c r="A28" i="184" s="1"/>
  <c r="A29" i="184" s="1"/>
  <c r="A30" i="184" s="1"/>
  <c r="A31" i="184" s="1"/>
  <c r="A32" i="184" s="1"/>
  <c r="A33" i="184" s="1"/>
  <c r="A34" i="184" s="1"/>
  <c r="A35" i="184" s="1"/>
  <c r="A36" i="184" s="1"/>
  <c r="A37" i="184" s="1"/>
  <c r="A38" i="184" s="1"/>
  <c r="A39" i="184" s="1"/>
  <c r="A40" i="184" s="1"/>
  <c r="A41" i="184" s="1"/>
  <c r="A42" i="184" s="1"/>
  <c r="A43" i="184" s="1"/>
  <c r="A44" i="184" s="1"/>
  <c r="A45" i="184" s="1"/>
  <c r="A46" i="184" s="1"/>
  <c r="A47" i="184" s="1"/>
  <c r="A48" i="184" s="1"/>
  <c r="A49" i="184" s="1"/>
  <c r="A50" i="184" s="1"/>
  <c r="A51" i="184" s="1"/>
  <c r="A52" i="184" s="1"/>
  <c r="A53" i="184" s="1"/>
  <c r="A54" i="184" s="1"/>
  <c r="A55" i="184" s="1"/>
  <c r="A56" i="184" s="1"/>
  <c r="A57" i="184" s="1"/>
  <c r="A58" i="184" s="1"/>
  <c r="A59" i="184" s="1"/>
  <c r="A60" i="184" s="1"/>
  <c r="A61" i="184" s="1"/>
  <c r="A62" i="184" s="1"/>
  <c r="A63" i="184" s="1"/>
  <c r="A64" i="184" s="1"/>
  <c r="A65" i="184" s="1"/>
  <c r="A66" i="184" s="1"/>
  <c r="A67" i="184" s="1"/>
  <c r="A68" i="184" s="1"/>
  <c r="A69" i="184" s="1"/>
  <c r="A70" i="184" s="1"/>
  <c r="A71" i="184" s="1"/>
  <c r="A72" i="184" s="1"/>
  <c r="A73" i="184" s="1"/>
  <c r="A74" i="184" s="1"/>
  <c r="A75" i="184" s="1"/>
  <c r="A76" i="184" s="1"/>
  <c r="A77" i="184" s="1"/>
  <c r="A78" i="184" s="1"/>
  <c r="A79" i="184" s="1"/>
  <c r="A80" i="184" s="1"/>
  <c r="A81" i="184" s="1"/>
  <c r="A82" i="184" s="1"/>
  <c r="A83" i="184" s="1"/>
  <c r="A84" i="184" s="1"/>
  <c r="A85" i="184" s="1"/>
  <c r="A86" i="184" s="1"/>
  <c r="A87" i="184" s="1"/>
  <c r="A88" i="184" s="1"/>
  <c r="A89" i="184" s="1"/>
  <c r="A90" i="184" s="1"/>
  <c r="A91" i="184" s="1"/>
  <c r="A7" i="184"/>
  <c r="F1" i="184"/>
  <c r="E1" i="184"/>
  <c r="D1" i="184"/>
  <c r="C1" i="184"/>
  <c r="B1" i="184"/>
  <c r="A8" i="183"/>
  <c r="A9" i="183" s="1"/>
  <c r="A10" i="183" s="1"/>
  <c r="A11" i="183" s="1"/>
  <c r="A12" i="183" s="1"/>
  <c r="A13" i="183" s="1"/>
  <c r="A14" i="183" s="1"/>
  <c r="A15" i="183" s="1"/>
  <c r="A16" i="183" s="1"/>
  <c r="A17" i="183" s="1"/>
  <c r="A18" i="183" s="1"/>
  <c r="A19" i="183" s="1"/>
  <c r="A20" i="183" s="1"/>
  <c r="A21" i="183" s="1"/>
  <c r="A22" i="183" s="1"/>
  <c r="A23" i="183" s="1"/>
  <c r="A24" i="183" s="1"/>
  <c r="A25" i="183" s="1"/>
  <c r="A26" i="183" s="1"/>
  <c r="A27" i="183" s="1"/>
  <c r="A28" i="183" s="1"/>
  <c r="A29" i="183" s="1"/>
  <c r="A30" i="183" s="1"/>
  <c r="A31" i="183" s="1"/>
  <c r="A32" i="183" s="1"/>
  <c r="A33" i="183" s="1"/>
  <c r="A34" i="183" s="1"/>
  <c r="A35" i="183" s="1"/>
  <c r="A36" i="183" s="1"/>
  <c r="A37" i="183" s="1"/>
  <c r="A38" i="183" s="1"/>
  <c r="A39" i="183" s="1"/>
  <c r="A40" i="183" s="1"/>
  <c r="A41" i="183" s="1"/>
  <c r="A42" i="183" s="1"/>
  <c r="A43" i="183" s="1"/>
  <c r="A44" i="183" s="1"/>
  <c r="A45" i="183" s="1"/>
  <c r="A46" i="183" s="1"/>
  <c r="A47" i="183" s="1"/>
  <c r="A48" i="183" s="1"/>
  <c r="A49" i="183" s="1"/>
  <c r="A50" i="183" s="1"/>
  <c r="A51" i="183" s="1"/>
  <c r="A52" i="183" s="1"/>
  <c r="A53" i="183" s="1"/>
  <c r="A54" i="183" s="1"/>
  <c r="A55" i="183" s="1"/>
  <c r="A56" i="183" s="1"/>
  <c r="A57" i="183" s="1"/>
  <c r="A58" i="183" s="1"/>
  <c r="A59" i="183" s="1"/>
  <c r="A60" i="183" s="1"/>
  <c r="A61" i="183" s="1"/>
  <c r="A62" i="183" s="1"/>
  <c r="A63" i="183" s="1"/>
  <c r="A64" i="183" s="1"/>
  <c r="A65" i="183" s="1"/>
  <c r="A66" i="183" s="1"/>
  <c r="A67" i="183" s="1"/>
  <c r="A68" i="183" s="1"/>
  <c r="A69" i="183" s="1"/>
  <c r="A70" i="183" s="1"/>
  <c r="A71" i="183" s="1"/>
  <c r="A72" i="183" s="1"/>
  <c r="A73" i="183" s="1"/>
  <c r="A74" i="183" s="1"/>
  <c r="A75" i="183" s="1"/>
  <c r="A76" i="183" s="1"/>
  <c r="A77" i="183" s="1"/>
  <c r="A78" i="183" s="1"/>
  <c r="A79" i="183" s="1"/>
  <c r="A80" i="183" s="1"/>
  <c r="A81" i="183" s="1"/>
  <c r="A82" i="183" s="1"/>
  <c r="A83" i="183" s="1"/>
  <c r="A84" i="183" s="1"/>
  <c r="A85" i="183" s="1"/>
  <c r="A86" i="183" s="1"/>
  <c r="A87" i="183" s="1"/>
  <c r="A88" i="183" s="1"/>
  <c r="A89" i="183" s="1"/>
  <c r="A90" i="183" s="1"/>
  <c r="A91" i="183" s="1"/>
  <c r="A7" i="183"/>
  <c r="F1" i="183"/>
  <c r="E1" i="183"/>
  <c r="D1" i="183"/>
  <c r="C1" i="183"/>
  <c r="B1" i="183"/>
  <c r="A8" i="182"/>
  <c r="A9" i="182" s="1"/>
  <c r="A10" i="182" s="1"/>
  <c r="A11" i="182" s="1"/>
  <c r="A12" i="182" s="1"/>
  <c r="A13" i="182" s="1"/>
  <c r="A14" i="182" s="1"/>
  <c r="A15" i="182" s="1"/>
  <c r="A16" i="182" s="1"/>
  <c r="A17" i="182" s="1"/>
  <c r="A18" i="182" s="1"/>
  <c r="A19" i="182" s="1"/>
  <c r="A20" i="182" s="1"/>
  <c r="A21" i="182" s="1"/>
  <c r="A22" i="182" s="1"/>
  <c r="A23" i="182" s="1"/>
  <c r="A24" i="182" s="1"/>
  <c r="A25" i="182" s="1"/>
  <c r="A26" i="182" s="1"/>
  <c r="A27" i="182" s="1"/>
  <c r="A28" i="182" s="1"/>
  <c r="A29" i="182" s="1"/>
  <c r="A30" i="182" s="1"/>
  <c r="A31" i="182" s="1"/>
  <c r="A32" i="182" s="1"/>
  <c r="A33" i="182" s="1"/>
  <c r="A34" i="182" s="1"/>
  <c r="A35" i="182" s="1"/>
  <c r="A36" i="182" s="1"/>
  <c r="A37" i="182" s="1"/>
  <c r="A38" i="182" s="1"/>
  <c r="A39" i="182" s="1"/>
  <c r="A40" i="182" s="1"/>
  <c r="A41" i="182" s="1"/>
  <c r="A42" i="182" s="1"/>
  <c r="A43" i="182" s="1"/>
  <c r="A44" i="182" s="1"/>
  <c r="A45" i="182" s="1"/>
  <c r="A46" i="182" s="1"/>
  <c r="A47" i="182" s="1"/>
  <c r="A48" i="182" s="1"/>
  <c r="A49" i="182" s="1"/>
  <c r="A50" i="182" s="1"/>
  <c r="A51" i="182" s="1"/>
  <c r="A52" i="182" s="1"/>
  <c r="A53" i="182" s="1"/>
  <c r="A54" i="182" s="1"/>
  <c r="A55" i="182" s="1"/>
  <c r="A56" i="182" s="1"/>
  <c r="A57" i="182" s="1"/>
  <c r="A58" i="182" s="1"/>
  <c r="A59" i="182" s="1"/>
  <c r="A60" i="182" s="1"/>
  <c r="A61" i="182" s="1"/>
  <c r="A62" i="182" s="1"/>
  <c r="A63" i="182" s="1"/>
  <c r="A64" i="182" s="1"/>
  <c r="A65" i="182" s="1"/>
  <c r="A66" i="182" s="1"/>
  <c r="A67" i="182" s="1"/>
  <c r="A68" i="182" s="1"/>
  <c r="A69" i="182" s="1"/>
  <c r="A70" i="182" s="1"/>
  <c r="A71" i="182" s="1"/>
  <c r="A72" i="182" s="1"/>
  <c r="A73" i="182" s="1"/>
  <c r="A74" i="182" s="1"/>
  <c r="A75" i="182" s="1"/>
  <c r="A76" i="182" s="1"/>
  <c r="A77" i="182" s="1"/>
  <c r="A78" i="182" s="1"/>
  <c r="A79" i="182" s="1"/>
  <c r="A80" i="182" s="1"/>
  <c r="A81" i="182" s="1"/>
  <c r="A82" i="182" s="1"/>
  <c r="A83" i="182" s="1"/>
  <c r="A84" i="182" s="1"/>
  <c r="A85" i="182" s="1"/>
  <c r="A86" i="182" s="1"/>
  <c r="A87" i="182" s="1"/>
  <c r="A88" i="182" s="1"/>
  <c r="A89" i="182" s="1"/>
  <c r="A90" i="182" s="1"/>
  <c r="A91" i="182" s="1"/>
  <c r="A7" i="182"/>
  <c r="F1" i="182"/>
  <c r="E1" i="182"/>
  <c r="D1" i="182"/>
  <c r="C1" i="182"/>
  <c r="B1" i="182"/>
  <c r="A8" i="181"/>
  <c r="A9" i="181" s="1"/>
  <c r="A10" i="181" s="1"/>
  <c r="A11" i="181" s="1"/>
  <c r="A12" i="181" s="1"/>
  <c r="A13" i="181" s="1"/>
  <c r="A14" i="181" s="1"/>
  <c r="A15" i="181" s="1"/>
  <c r="A16" i="181" s="1"/>
  <c r="A17" i="181" s="1"/>
  <c r="A18" i="181" s="1"/>
  <c r="A19" i="181" s="1"/>
  <c r="A20" i="181" s="1"/>
  <c r="A21" i="181" s="1"/>
  <c r="A22" i="181" s="1"/>
  <c r="A23" i="181" s="1"/>
  <c r="A24" i="181" s="1"/>
  <c r="A25" i="181" s="1"/>
  <c r="A26" i="181" s="1"/>
  <c r="A27" i="181" s="1"/>
  <c r="A28" i="181" s="1"/>
  <c r="A29" i="181" s="1"/>
  <c r="A30" i="181" s="1"/>
  <c r="A31" i="181" s="1"/>
  <c r="A32" i="181" s="1"/>
  <c r="A33" i="181" s="1"/>
  <c r="A34" i="181" s="1"/>
  <c r="A35" i="181" s="1"/>
  <c r="A36" i="181" s="1"/>
  <c r="A37" i="181" s="1"/>
  <c r="A38" i="181" s="1"/>
  <c r="A39" i="181" s="1"/>
  <c r="A40" i="181" s="1"/>
  <c r="A41" i="181" s="1"/>
  <c r="A42" i="181" s="1"/>
  <c r="A43" i="181" s="1"/>
  <c r="A44" i="181" s="1"/>
  <c r="A45" i="181" s="1"/>
  <c r="A46" i="181" s="1"/>
  <c r="A47" i="181" s="1"/>
  <c r="A48" i="181" s="1"/>
  <c r="A49" i="181" s="1"/>
  <c r="A50" i="181" s="1"/>
  <c r="A51" i="181" s="1"/>
  <c r="A52" i="181" s="1"/>
  <c r="A53" i="181" s="1"/>
  <c r="A54" i="181" s="1"/>
  <c r="A55" i="181" s="1"/>
  <c r="A56" i="181" s="1"/>
  <c r="A57" i="181" s="1"/>
  <c r="A58" i="181" s="1"/>
  <c r="A59" i="181" s="1"/>
  <c r="A60" i="181" s="1"/>
  <c r="A61" i="181" s="1"/>
  <c r="A62" i="181" s="1"/>
  <c r="A63" i="181" s="1"/>
  <c r="A64" i="181" s="1"/>
  <c r="A65" i="181" s="1"/>
  <c r="A66" i="181" s="1"/>
  <c r="A67" i="181" s="1"/>
  <c r="A68" i="181" s="1"/>
  <c r="A69" i="181" s="1"/>
  <c r="A70" i="181" s="1"/>
  <c r="A71" i="181" s="1"/>
  <c r="A72" i="181" s="1"/>
  <c r="A73" i="181" s="1"/>
  <c r="A74" i="181" s="1"/>
  <c r="A75" i="181" s="1"/>
  <c r="A76" i="181" s="1"/>
  <c r="A77" i="181" s="1"/>
  <c r="A78" i="181" s="1"/>
  <c r="A79" i="181" s="1"/>
  <c r="A80" i="181" s="1"/>
  <c r="A81" i="181" s="1"/>
  <c r="A82" i="181" s="1"/>
  <c r="A83" i="181" s="1"/>
  <c r="A84" i="181" s="1"/>
  <c r="A85" i="181" s="1"/>
  <c r="A86" i="181" s="1"/>
  <c r="A87" i="181" s="1"/>
  <c r="A88" i="181" s="1"/>
  <c r="A89" i="181" s="1"/>
  <c r="A90" i="181" s="1"/>
  <c r="A91" i="181" s="1"/>
  <c r="A7" i="181"/>
  <c r="F1" i="181"/>
  <c r="E1" i="181"/>
  <c r="D1" i="181"/>
  <c r="C1" i="181"/>
  <c r="B1" i="181"/>
  <c r="A8" i="180"/>
  <c r="A9" i="180" s="1"/>
  <c r="A10" i="180" s="1"/>
  <c r="A11" i="180" s="1"/>
  <c r="A12" i="180" s="1"/>
  <c r="A13" i="180" s="1"/>
  <c r="A14" i="180" s="1"/>
  <c r="A15" i="180" s="1"/>
  <c r="A16" i="180" s="1"/>
  <c r="A17" i="180" s="1"/>
  <c r="A18" i="180" s="1"/>
  <c r="A19" i="180" s="1"/>
  <c r="A20" i="180" s="1"/>
  <c r="A21" i="180" s="1"/>
  <c r="A22" i="180" s="1"/>
  <c r="A23" i="180" s="1"/>
  <c r="A24" i="180" s="1"/>
  <c r="A25" i="180" s="1"/>
  <c r="A26" i="180" s="1"/>
  <c r="A27" i="180" s="1"/>
  <c r="A28" i="180" s="1"/>
  <c r="A29" i="180" s="1"/>
  <c r="A30" i="180" s="1"/>
  <c r="A31" i="180" s="1"/>
  <c r="A32" i="180" s="1"/>
  <c r="A33" i="180" s="1"/>
  <c r="A34" i="180" s="1"/>
  <c r="A35" i="180" s="1"/>
  <c r="A36" i="180" s="1"/>
  <c r="A37" i="180" s="1"/>
  <c r="A38" i="180" s="1"/>
  <c r="A39" i="180" s="1"/>
  <c r="A40" i="180" s="1"/>
  <c r="A41" i="180" s="1"/>
  <c r="A42" i="180" s="1"/>
  <c r="A43" i="180" s="1"/>
  <c r="A44" i="180" s="1"/>
  <c r="A45" i="180" s="1"/>
  <c r="A46" i="180" s="1"/>
  <c r="A47" i="180" s="1"/>
  <c r="A48" i="180" s="1"/>
  <c r="A49" i="180" s="1"/>
  <c r="A50" i="180" s="1"/>
  <c r="A51" i="180" s="1"/>
  <c r="A52" i="180" s="1"/>
  <c r="A53" i="180" s="1"/>
  <c r="A54" i="180" s="1"/>
  <c r="A55" i="180" s="1"/>
  <c r="A56" i="180" s="1"/>
  <c r="A57" i="180" s="1"/>
  <c r="A58" i="180" s="1"/>
  <c r="A59" i="180" s="1"/>
  <c r="A60" i="180" s="1"/>
  <c r="A61" i="180" s="1"/>
  <c r="A62" i="180" s="1"/>
  <c r="A63" i="180" s="1"/>
  <c r="A64" i="180" s="1"/>
  <c r="A65" i="180" s="1"/>
  <c r="A66" i="180" s="1"/>
  <c r="A67" i="180" s="1"/>
  <c r="A68" i="180" s="1"/>
  <c r="A69" i="180" s="1"/>
  <c r="A70" i="180" s="1"/>
  <c r="A71" i="180" s="1"/>
  <c r="A72" i="180" s="1"/>
  <c r="A73" i="180" s="1"/>
  <c r="A74" i="180" s="1"/>
  <c r="A75" i="180" s="1"/>
  <c r="A76" i="180" s="1"/>
  <c r="A77" i="180" s="1"/>
  <c r="A78" i="180" s="1"/>
  <c r="A79" i="180" s="1"/>
  <c r="A80" i="180" s="1"/>
  <c r="A81" i="180" s="1"/>
  <c r="A82" i="180" s="1"/>
  <c r="A83" i="180" s="1"/>
  <c r="A84" i="180" s="1"/>
  <c r="A85" i="180" s="1"/>
  <c r="A86" i="180" s="1"/>
  <c r="A87" i="180" s="1"/>
  <c r="A88" i="180" s="1"/>
  <c r="A89" i="180" s="1"/>
  <c r="A90" i="180" s="1"/>
  <c r="A91" i="180" s="1"/>
  <c r="A7" i="180"/>
  <c r="F1" i="180"/>
  <c r="E1" i="180"/>
  <c r="D1" i="180"/>
  <c r="C1" i="180"/>
  <c r="B1" i="180"/>
  <c r="A8" i="179"/>
  <c r="A9" i="179" s="1"/>
  <c r="A10" i="179" s="1"/>
  <c r="A11" i="179" s="1"/>
  <c r="A12" i="179" s="1"/>
  <c r="A13" i="179" s="1"/>
  <c r="A14" i="179" s="1"/>
  <c r="A15" i="179" s="1"/>
  <c r="A16" i="179" s="1"/>
  <c r="A17" i="179" s="1"/>
  <c r="A18" i="179" s="1"/>
  <c r="A19" i="179" s="1"/>
  <c r="A20" i="179" s="1"/>
  <c r="A21" i="179" s="1"/>
  <c r="A22" i="179" s="1"/>
  <c r="A23" i="179" s="1"/>
  <c r="A24" i="179" s="1"/>
  <c r="A25" i="179" s="1"/>
  <c r="A26" i="179" s="1"/>
  <c r="A27" i="179" s="1"/>
  <c r="A28" i="179" s="1"/>
  <c r="A29" i="179" s="1"/>
  <c r="A30" i="179" s="1"/>
  <c r="A31" i="179" s="1"/>
  <c r="A32" i="179" s="1"/>
  <c r="A33" i="179" s="1"/>
  <c r="A34" i="179" s="1"/>
  <c r="A35" i="179" s="1"/>
  <c r="A36" i="179" s="1"/>
  <c r="A37" i="179" s="1"/>
  <c r="A38" i="179" s="1"/>
  <c r="A39" i="179" s="1"/>
  <c r="A40" i="179" s="1"/>
  <c r="A41" i="179" s="1"/>
  <c r="A42" i="179" s="1"/>
  <c r="A43" i="179" s="1"/>
  <c r="A44" i="179" s="1"/>
  <c r="A45" i="179" s="1"/>
  <c r="A46" i="179" s="1"/>
  <c r="A47" i="179" s="1"/>
  <c r="A48" i="179" s="1"/>
  <c r="A49" i="179" s="1"/>
  <c r="A50" i="179" s="1"/>
  <c r="A51" i="179" s="1"/>
  <c r="A52" i="179" s="1"/>
  <c r="A53" i="179" s="1"/>
  <c r="A54" i="179" s="1"/>
  <c r="A55" i="179" s="1"/>
  <c r="A56" i="179" s="1"/>
  <c r="A57" i="179" s="1"/>
  <c r="A58" i="179" s="1"/>
  <c r="A59" i="179" s="1"/>
  <c r="A60" i="179" s="1"/>
  <c r="A61" i="179" s="1"/>
  <c r="A62" i="179" s="1"/>
  <c r="A63" i="179" s="1"/>
  <c r="A64" i="179" s="1"/>
  <c r="A65" i="179" s="1"/>
  <c r="A66" i="179" s="1"/>
  <c r="A67" i="179" s="1"/>
  <c r="A68" i="179" s="1"/>
  <c r="A69" i="179" s="1"/>
  <c r="A70" i="179" s="1"/>
  <c r="A71" i="179" s="1"/>
  <c r="A72" i="179" s="1"/>
  <c r="A73" i="179" s="1"/>
  <c r="A74" i="179" s="1"/>
  <c r="A75" i="179" s="1"/>
  <c r="A76" i="179" s="1"/>
  <c r="A77" i="179" s="1"/>
  <c r="A78" i="179" s="1"/>
  <c r="A79" i="179" s="1"/>
  <c r="A80" i="179" s="1"/>
  <c r="A81" i="179" s="1"/>
  <c r="A82" i="179" s="1"/>
  <c r="A83" i="179" s="1"/>
  <c r="A84" i="179" s="1"/>
  <c r="A85" i="179" s="1"/>
  <c r="A86" i="179" s="1"/>
  <c r="A87" i="179" s="1"/>
  <c r="A88" i="179" s="1"/>
  <c r="A89" i="179" s="1"/>
  <c r="A90" i="179" s="1"/>
  <c r="A91" i="179" s="1"/>
  <c r="A7" i="179"/>
  <c r="F1" i="179"/>
  <c r="E1" i="179"/>
  <c r="D1" i="179"/>
  <c r="C1" i="179"/>
  <c r="B1" i="179"/>
  <c r="A8" i="178"/>
  <c r="A9" i="178" s="1"/>
  <c r="A10" i="178" s="1"/>
  <c r="A11" i="178" s="1"/>
  <c r="A12" i="178" s="1"/>
  <c r="A13" i="178" s="1"/>
  <c r="A14" i="178" s="1"/>
  <c r="A15" i="178" s="1"/>
  <c r="A16" i="178" s="1"/>
  <c r="A17" i="178" s="1"/>
  <c r="A18" i="178" s="1"/>
  <c r="A19" i="178" s="1"/>
  <c r="A20" i="178" s="1"/>
  <c r="A21" i="178" s="1"/>
  <c r="A22" i="178" s="1"/>
  <c r="A23" i="178" s="1"/>
  <c r="A24" i="178" s="1"/>
  <c r="A25" i="178" s="1"/>
  <c r="A26" i="178" s="1"/>
  <c r="A27" i="178" s="1"/>
  <c r="A28" i="178" s="1"/>
  <c r="A29" i="178" s="1"/>
  <c r="A30" i="178" s="1"/>
  <c r="A31" i="178" s="1"/>
  <c r="A32" i="178" s="1"/>
  <c r="A33" i="178" s="1"/>
  <c r="A34" i="178" s="1"/>
  <c r="A35" i="178" s="1"/>
  <c r="A36" i="178" s="1"/>
  <c r="A37" i="178" s="1"/>
  <c r="A38" i="178" s="1"/>
  <c r="A39" i="178" s="1"/>
  <c r="A40" i="178" s="1"/>
  <c r="A41" i="178" s="1"/>
  <c r="A42" i="178" s="1"/>
  <c r="A43" i="178" s="1"/>
  <c r="A44" i="178" s="1"/>
  <c r="A45" i="178" s="1"/>
  <c r="A46" i="178" s="1"/>
  <c r="A47" i="178" s="1"/>
  <c r="A48" i="178" s="1"/>
  <c r="A49" i="178" s="1"/>
  <c r="A50" i="178" s="1"/>
  <c r="A51" i="178" s="1"/>
  <c r="A52" i="178" s="1"/>
  <c r="A53" i="178" s="1"/>
  <c r="A54" i="178" s="1"/>
  <c r="A55" i="178" s="1"/>
  <c r="A56" i="178" s="1"/>
  <c r="A57" i="178" s="1"/>
  <c r="A58" i="178" s="1"/>
  <c r="A59" i="178" s="1"/>
  <c r="A60" i="178" s="1"/>
  <c r="A61" i="178" s="1"/>
  <c r="A62" i="178" s="1"/>
  <c r="A63" i="178" s="1"/>
  <c r="A64" i="178" s="1"/>
  <c r="A65" i="178" s="1"/>
  <c r="A66" i="178" s="1"/>
  <c r="A67" i="178" s="1"/>
  <c r="A68" i="178" s="1"/>
  <c r="A69" i="178" s="1"/>
  <c r="A70" i="178" s="1"/>
  <c r="A71" i="178" s="1"/>
  <c r="A72" i="178" s="1"/>
  <c r="A73" i="178" s="1"/>
  <c r="A74" i="178" s="1"/>
  <c r="A75" i="178" s="1"/>
  <c r="A76" i="178" s="1"/>
  <c r="A77" i="178" s="1"/>
  <c r="A78" i="178" s="1"/>
  <c r="A79" i="178" s="1"/>
  <c r="A80" i="178" s="1"/>
  <c r="A81" i="178" s="1"/>
  <c r="A82" i="178" s="1"/>
  <c r="A83" i="178" s="1"/>
  <c r="A84" i="178" s="1"/>
  <c r="A85" i="178" s="1"/>
  <c r="A86" i="178" s="1"/>
  <c r="A87" i="178" s="1"/>
  <c r="A88" i="178" s="1"/>
  <c r="A89" i="178" s="1"/>
  <c r="A90" i="178" s="1"/>
  <c r="A91" i="178" s="1"/>
  <c r="A7" i="178"/>
  <c r="F1" i="178"/>
  <c r="E1" i="178"/>
  <c r="D1" i="178"/>
  <c r="C1" i="178"/>
  <c r="B1" i="178"/>
  <c r="A8" i="177"/>
  <c r="A9" i="177" s="1"/>
  <c r="A10" i="177" s="1"/>
  <c r="A11" i="177" s="1"/>
  <c r="A12" i="177" s="1"/>
  <c r="A13" i="177" s="1"/>
  <c r="A14" i="177" s="1"/>
  <c r="A15" i="177" s="1"/>
  <c r="A16" i="177" s="1"/>
  <c r="A17" i="177" s="1"/>
  <c r="A18" i="177" s="1"/>
  <c r="A19" i="177" s="1"/>
  <c r="A20" i="177" s="1"/>
  <c r="A21" i="177" s="1"/>
  <c r="A22" i="177" s="1"/>
  <c r="A23" i="177" s="1"/>
  <c r="A24" i="177" s="1"/>
  <c r="A25" i="177" s="1"/>
  <c r="A26" i="177" s="1"/>
  <c r="A27" i="177" s="1"/>
  <c r="A28" i="177" s="1"/>
  <c r="A29" i="177" s="1"/>
  <c r="A30" i="177" s="1"/>
  <c r="A31" i="177" s="1"/>
  <c r="A32" i="177" s="1"/>
  <c r="A33" i="177" s="1"/>
  <c r="A34" i="177" s="1"/>
  <c r="A35" i="177" s="1"/>
  <c r="A36" i="177" s="1"/>
  <c r="A37" i="177" s="1"/>
  <c r="A38" i="177" s="1"/>
  <c r="A39" i="177" s="1"/>
  <c r="A40" i="177" s="1"/>
  <c r="A41" i="177" s="1"/>
  <c r="A42" i="177" s="1"/>
  <c r="A43" i="177" s="1"/>
  <c r="A44" i="177" s="1"/>
  <c r="A45" i="177" s="1"/>
  <c r="A46" i="177" s="1"/>
  <c r="A47" i="177" s="1"/>
  <c r="A48" i="177" s="1"/>
  <c r="A49" i="177" s="1"/>
  <c r="A50" i="177" s="1"/>
  <c r="A51" i="177" s="1"/>
  <c r="A52" i="177" s="1"/>
  <c r="A53" i="177" s="1"/>
  <c r="A54" i="177" s="1"/>
  <c r="A55" i="177" s="1"/>
  <c r="A56" i="177" s="1"/>
  <c r="A57" i="177" s="1"/>
  <c r="A58" i="177" s="1"/>
  <c r="A59" i="177" s="1"/>
  <c r="A60" i="177" s="1"/>
  <c r="A61" i="177" s="1"/>
  <c r="A62" i="177" s="1"/>
  <c r="A63" i="177" s="1"/>
  <c r="A64" i="177" s="1"/>
  <c r="A65" i="177" s="1"/>
  <c r="A66" i="177" s="1"/>
  <c r="A67" i="177" s="1"/>
  <c r="A68" i="177" s="1"/>
  <c r="A69" i="177" s="1"/>
  <c r="A70" i="177" s="1"/>
  <c r="A71" i="177" s="1"/>
  <c r="A72" i="177" s="1"/>
  <c r="A73" i="177" s="1"/>
  <c r="A74" i="177" s="1"/>
  <c r="A75" i="177" s="1"/>
  <c r="A76" i="177" s="1"/>
  <c r="A77" i="177" s="1"/>
  <c r="A78" i="177" s="1"/>
  <c r="A79" i="177" s="1"/>
  <c r="A80" i="177" s="1"/>
  <c r="A81" i="177" s="1"/>
  <c r="A82" i="177" s="1"/>
  <c r="A83" i="177" s="1"/>
  <c r="A84" i="177" s="1"/>
  <c r="A85" i="177" s="1"/>
  <c r="A86" i="177" s="1"/>
  <c r="A87" i="177" s="1"/>
  <c r="A88" i="177" s="1"/>
  <c r="A89" i="177" s="1"/>
  <c r="A90" i="177" s="1"/>
  <c r="A91" i="177" s="1"/>
  <c r="A7" i="177"/>
  <c r="F1" i="177"/>
  <c r="E1" i="177"/>
  <c r="D1" i="177"/>
  <c r="C1" i="177"/>
  <c r="B1" i="177"/>
  <c r="A8" i="176"/>
  <c r="A9" i="176" s="1"/>
  <c r="A10" i="176" s="1"/>
  <c r="A11" i="176" s="1"/>
  <c r="A12" i="176" s="1"/>
  <c r="A13" i="176" s="1"/>
  <c r="A14" i="176" s="1"/>
  <c r="A15" i="176" s="1"/>
  <c r="A16" i="176" s="1"/>
  <c r="A17" i="176" s="1"/>
  <c r="A18" i="176" s="1"/>
  <c r="A19" i="176" s="1"/>
  <c r="A20" i="176" s="1"/>
  <c r="A21" i="176" s="1"/>
  <c r="A22" i="176" s="1"/>
  <c r="A23" i="176" s="1"/>
  <c r="A24" i="176" s="1"/>
  <c r="A25" i="176" s="1"/>
  <c r="A26" i="176" s="1"/>
  <c r="A27" i="176" s="1"/>
  <c r="A28" i="176" s="1"/>
  <c r="A29" i="176" s="1"/>
  <c r="A30" i="176" s="1"/>
  <c r="A31" i="176" s="1"/>
  <c r="A32" i="176" s="1"/>
  <c r="A33" i="176" s="1"/>
  <c r="A34" i="176" s="1"/>
  <c r="A35" i="176" s="1"/>
  <c r="A36" i="176" s="1"/>
  <c r="A37" i="176" s="1"/>
  <c r="A38" i="176" s="1"/>
  <c r="A39" i="176" s="1"/>
  <c r="A40" i="176" s="1"/>
  <c r="A41" i="176" s="1"/>
  <c r="A42" i="176" s="1"/>
  <c r="A43" i="176" s="1"/>
  <c r="A44" i="176" s="1"/>
  <c r="A45" i="176" s="1"/>
  <c r="A46" i="176" s="1"/>
  <c r="A47" i="176" s="1"/>
  <c r="A48" i="176" s="1"/>
  <c r="A49" i="176" s="1"/>
  <c r="A50" i="176" s="1"/>
  <c r="A51" i="176" s="1"/>
  <c r="A52" i="176" s="1"/>
  <c r="A53" i="176" s="1"/>
  <c r="A54" i="176" s="1"/>
  <c r="A55" i="176" s="1"/>
  <c r="A56" i="176" s="1"/>
  <c r="A57" i="176" s="1"/>
  <c r="A58" i="176" s="1"/>
  <c r="A59" i="176" s="1"/>
  <c r="A60" i="176" s="1"/>
  <c r="A61" i="176" s="1"/>
  <c r="A62" i="176" s="1"/>
  <c r="A63" i="176" s="1"/>
  <c r="A64" i="176" s="1"/>
  <c r="A65" i="176" s="1"/>
  <c r="A66" i="176" s="1"/>
  <c r="A67" i="176" s="1"/>
  <c r="A68" i="176" s="1"/>
  <c r="A69" i="176" s="1"/>
  <c r="A70" i="176" s="1"/>
  <c r="A71" i="176" s="1"/>
  <c r="A72" i="176" s="1"/>
  <c r="A73" i="176" s="1"/>
  <c r="A74" i="176" s="1"/>
  <c r="A75" i="176" s="1"/>
  <c r="A76" i="176" s="1"/>
  <c r="A77" i="176" s="1"/>
  <c r="A78" i="176" s="1"/>
  <c r="A79" i="176" s="1"/>
  <c r="A80" i="176" s="1"/>
  <c r="A81" i="176" s="1"/>
  <c r="A82" i="176" s="1"/>
  <c r="A83" i="176" s="1"/>
  <c r="A84" i="176" s="1"/>
  <c r="A85" i="176" s="1"/>
  <c r="A86" i="176" s="1"/>
  <c r="A87" i="176" s="1"/>
  <c r="A88" i="176" s="1"/>
  <c r="A89" i="176" s="1"/>
  <c r="A90" i="176" s="1"/>
  <c r="A91" i="176" s="1"/>
  <c r="A7" i="176"/>
  <c r="F1" i="176"/>
  <c r="E1" i="176"/>
  <c r="D1" i="176"/>
  <c r="C1" i="176"/>
  <c r="B1" i="176"/>
  <c r="A8" i="175"/>
  <c r="A9" i="175" s="1"/>
  <c r="A10" i="175" s="1"/>
  <c r="A11" i="175" s="1"/>
  <c r="A12" i="175" s="1"/>
  <c r="A13" i="175" s="1"/>
  <c r="A14" i="175" s="1"/>
  <c r="A15" i="175" s="1"/>
  <c r="A16" i="175" s="1"/>
  <c r="A17" i="175" s="1"/>
  <c r="A18" i="175" s="1"/>
  <c r="A19" i="175" s="1"/>
  <c r="A20" i="175" s="1"/>
  <c r="A21" i="175" s="1"/>
  <c r="A22" i="175" s="1"/>
  <c r="A23" i="175" s="1"/>
  <c r="A24" i="175" s="1"/>
  <c r="A25" i="175" s="1"/>
  <c r="A26" i="175" s="1"/>
  <c r="A27" i="175" s="1"/>
  <c r="A28" i="175" s="1"/>
  <c r="A29" i="175" s="1"/>
  <c r="A30" i="175" s="1"/>
  <c r="A31" i="175" s="1"/>
  <c r="A32" i="175" s="1"/>
  <c r="A33" i="175" s="1"/>
  <c r="A34" i="175" s="1"/>
  <c r="A35" i="175" s="1"/>
  <c r="A36" i="175" s="1"/>
  <c r="A37" i="175" s="1"/>
  <c r="A38" i="175" s="1"/>
  <c r="A39" i="175" s="1"/>
  <c r="A40" i="175" s="1"/>
  <c r="A41" i="175" s="1"/>
  <c r="A42" i="175" s="1"/>
  <c r="A43" i="175" s="1"/>
  <c r="A44" i="175" s="1"/>
  <c r="A45" i="175" s="1"/>
  <c r="A46" i="175" s="1"/>
  <c r="A47" i="175" s="1"/>
  <c r="A48" i="175" s="1"/>
  <c r="A49" i="175" s="1"/>
  <c r="A50" i="175" s="1"/>
  <c r="A51" i="175" s="1"/>
  <c r="A52" i="175" s="1"/>
  <c r="A53" i="175" s="1"/>
  <c r="A54" i="175" s="1"/>
  <c r="A55" i="175" s="1"/>
  <c r="A56" i="175" s="1"/>
  <c r="A57" i="175" s="1"/>
  <c r="A58" i="175" s="1"/>
  <c r="A59" i="175" s="1"/>
  <c r="A60" i="175" s="1"/>
  <c r="A61" i="175" s="1"/>
  <c r="A62" i="175" s="1"/>
  <c r="A63" i="175" s="1"/>
  <c r="A64" i="175" s="1"/>
  <c r="A65" i="175" s="1"/>
  <c r="A66" i="175" s="1"/>
  <c r="A67" i="175" s="1"/>
  <c r="A68" i="175" s="1"/>
  <c r="A69" i="175" s="1"/>
  <c r="A70" i="175" s="1"/>
  <c r="A71" i="175" s="1"/>
  <c r="A72" i="175" s="1"/>
  <c r="A73" i="175" s="1"/>
  <c r="A74" i="175" s="1"/>
  <c r="A75" i="175" s="1"/>
  <c r="A76" i="175" s="1"/>
  <c r="A77" i="175" s="1"/>
  <c r="A78" i="175" s="1"/>
  <c r="A79" i="175" s="1"/>
  <c r="A80" i="175" s="1"/>
  <c r="A81" i="175" s="1"/>
  <c r="A82" i="175" s="1"/>
  <c r="A83" i="175" s="1"/>
  <c r="A84" i="175" s="1"/>
  <c r="A85" i="175" s="1"/>
  <c r="A86" i="175" s="1"/>
  <c r="A87" i="175" s="1"/>
  <c r="A88" i="175" s="1"/>
  <c r="A89" i="175" s="1"/>
  <c r="A90" i="175" s="1"/>
  <c r="A91" i="175" s="1"/>
  <c r="A7" i="175"/>
  <c r="F1" i="175"/>
  <c r="E1" i="175"/>
  <c r="D1" i="175"/>
  <c r="C1" i="175"/>
  <c r="B1" i="175"/>
  <c r="A8" i="174"/>
  <c r="A9" i="174" s="1"/>
  <c r="A10" i="174" s="1"/>
  <c r="A11" i="174" s="1"/>
  <c r="A12" i="174" s="1"/>
  <c r="A13" i="174" s="1"/>
  <c r="A14" i="174" s="1"/>
  <c r="A15" i="174" s="1"/>
  <c r="A16" i="174" s="1"/>
  <c r="A17" i="174" s="1"/>
  <c r="A18" i="174" s="1"/>
  <c r="A19" i="174" s="1"/>
  <c r="A20" i="174" s="1"/>
  <c r="A21" i="174" s="1"/>
  <c r="A22" i="174" s="1"/>
  <c r="A23" i="174" s="1"/>
  <c r="A24" i="174" s="1"/>
  <c r="A25" i="174" s="1"/>
  <c r="A26" i="174" s="1"/>
  <c r="A27" i="174" s="1"/>
  <c r="A28" i="174" s="1"/>
  <c r="A29" i="174" s="1"/>
  <c r="A30" i="174" s="1"/>
  <c r="A31" i="174" s="1"/>
  <c r="A32" i="174" s="1"/>
  <c r="A33" i="174" s="1"/>
  <c r="A34" i="174" s="1"/>
  <c r="A35" i="174" s="1"/>
  <c r="A36" i="174" s="1"/>
  <c r="A37" i="174" s="1"/>
  <c r="A38" i="174" s="1"/>
  <c r="A39" i="174" s="1"/>
  <c r="A40" i="174" s="1"/>
  <c r="A41" i="174" s="1"/>
  <c r="A42" i="174" s="1"/>
  <c r="A43" i="174" s="1"/>
  <c r="A44" i="174" s="1"/>
  <c r="A45" i="174" s="1"/>
  <c r="A46" i="174" s="1"/>
  <c r="A47" i="174" s="1"/>
  <c r="A48" i="174" s="1"/>
  <c r="A49" i="174" s="1"/>
  <c r="A50" i="174" s="1"/>
  <c r="A51" i="174" s="1"/>
  <c r="A52" i="174" s="1"/>
  <c r="A53" i="174" s="1"/>
  <c r="A54" i="174" s="1"/>
  <c r="A55" i="174" s="1"/>
  <c r="A56" i="174" s="1"/>
  <c r="A57" i="174" s="1"/>
  <c r="A58" i="174" s="1"/>
  <c r="A59" i="174" s="1"/>
  <c r="A60" i="174" s="1"/>
  <c r="A61" i="174" s="1"/>
  <c r="A62" i="174" s="1"/>
  <c r="A63" i="174" s="1"/>
  <c r="A64" i="174" s="1"/>
  <c r="A65" i="174" s="1"/>
  <c r="A66" i="174" s="1"/>
  <c r="A67" i="174" s="1"/>
  <c r="A68" i="174" s="1"/>
  <c r="A69" i="174" s="1"/>
  <c r="A70" i="174" s="1"/>
  <c r="A71" i="174" s="1"/>
  <c r="A72" i="174" s="1"/>
  <c r="A73" i="174" s="1"/>
  <c r="A74" i="174" s="1"/>
  <c r="A75" i="174" s="1"/>
  <c r="A76" i="174" s="1"/>
  <c r="A77" i="174" s="1"/>
  <c r="A78" i="174" s="1"/>
  <c r="A79" i="174" s="1"/>
  <c r="A80" i="174" s="1"/>
  <c r="A81" i="174" s="1"/>
  <c r="A82" i="174" s="1"/>
  <c r="A83" i="174" s="1"/>
  <c r="A84" i="174" s="1"/>
  <c r="A85" i="174" s="1"/>
  <c r="A86" i="174" s="1"/>
  <c r="A87" i="174" s="1"/>
  <c r="A88" i="174" s="1"/>
  <c r="A89" i="174" s="1"/>
  <c r="A90" i="174" s="1"/>
  <c r="A91" i="174" s="1"/>
  <c r="A7" i="174"/>
  <c r="F1" i="174"/>
  <c r="E1" i="174"/>
  <c r="D1" i="174"/>
  <c r="C1" i="174"/>
  <c r="B1" i="174"/>
  <c r="A8" i="173"/>
  <c r="A9" i="173" s="1"/>
  <c r="A10" i="173" s="1"/>
  <c r="A11" i="173" s="1"/>
  <c r="A12" i="173" s="1"/>
  <c r="A13" i="173" s="1"/>
  <c r="A14" i="173" s="1"/>
  <c r="A15" i="173" s="1"/>
  <c r="A16" i="173" s="1"/>
  <c r="A17" i="173" s="1"/>
  <c r="A18" i="173" s="1"/>
  <c r="A19" i="173" s="1"/>
  <c r="A20" i="173" s="1"/>
  <c r="A21" i="173" s="1"/>
  <c r="A22" i="173" s="1"/>
  <c r="A23" i="173" s="1"/>
  <c r="A24" i="173" s="1"/>
  <c r="A25" i="173" s="1"/>
  <c r="A26" i="173" s="1"/>
  <c r="A27" i="173" s="1"/>
  <c r="A28" i="173" s="1"/>
  <c r="A29" i="173" s="1"/>
  <c r="A30" i="173" s="1"/>
  <c r="A31" i="173" s="1"/>
  <c r="A32" i="173" s="1"/>
  <c r="A33" i="173" s="1"/>
  <c r="A34" i="173" s="1"/>
  <c r="A35" i="173" s="1"/>
  <c r="A36" i="173" s="1"/>
  <c r="A37" i="173" s="1"/>
  <c r="A38" i="173" s="1"/>
  <c r="A39" i="173" s="1"/>
  <c r="A40" i="173" s="1"/>
  <c r="A41" i="173" s="1"/>
  <c r="A42" i="173" s="1"/>
  <c r="A43" i="173" s="1"/>
  <c r="A44" i="173" s="1"/>
  <c r="A45" i="173" s="1"/>
  <c r="A46" i="173" s="1"/>
  <c r="A47" i="173" s="1"/>
  <c r="A48" i="173" s="1"/>
  <c r="A49" i="173" s="1"/>
  <c r="A50" i="173" s="1"/>
  <c r="A51" i="173" s="1"/>
  <c r="A52" i="173" s="1"/>
  <c r="A53" i="173" s="1"/>
  <c r="A54" i="173" s="1"/>
  <c r="A55" i="173" s="1"/>
  <c r="A56" i="173" s="1"/>
  <c r="A57" i="173" s="1"/>
  <c r="A58" i="173" s="1"/>
  <c r="A59" i="173" s="1"/>
  <c r="A60" i="173" s="1"/>
  <c r="A61" i="173" s="1"/>
  <c r="A62" i="173" s="1"/>
  <c r="A63" i="173" s="1"/>
  <c r="A64" i="173" s="1"/>
  <c r="A65" i="173" s="1"/>
  <c r="A66" i="173" s="1"/>
  <c r="A67" i="173" s="1"/>
  <c r="A68" i="173" s="1"/>
  <c r="A69" i="173" s="1"/>
  <c r="A70" i="173" s="1"/>
  <c r="A71" i="173" s="1"/>
  <c r="A72" i="173" s="1"/>
  <c r="A73" i="173" s="1"/>
  <c r="A74" i="173" s="1"/>
  <c r="A75" i="173" s="1"/>
  <c r="A76" i="173" s="1"/>
  <c r="A77" i="173" s="1"/>
  <c r="A78" i="173" s="1"/>
  <c r="A79" i="173" s="1"/>
  <c r="A80" i="173" s="1"/>
  <c r="A81" i="173" s="1"/>
  <c r="A82" i="173" s="1"/>
  <c r="A83" i="173" s="1"/>
  <c r="A84" i="173" s="1"/>
  <c r="A85" i="173" s="1"/>
  <c r="A86" i="173" s="1"/>
  <c r="A87" i="173" s="1"/>
  <c r="A88" i="173" s="1"/>
  <c r="A89" i="173" s="1"/>
  <c r="A90" i="173" s="1"/>
  <c r="A91" i="173" s="1"/>
  <c r="A7" i="173"/>
  <c r="F1" i="173"/>
  <c r="E1" i="173"/>
  <c r="D1" i="173"/>
  <c r="C1" i="173"/>
  <c r="B1" i="173"/>
  <c r="A8" i="172"/>
  <c r="A9" i="172" s="1"/>
  <c r="A10" i="172" s="1"/>
  <c r="A11" i="172" s="1"/>
  <c r="A12" i="172" s="1"/>
  <c r="A13" i="172" s="1"/>
  <c r="A14" i="172" s="1"/>
  <c r="A15" i="172" s="1"/>
  <c r="A16" i="172" s="1"/>
  <c r="A17" i="172" s="1"/>
  <c r="A18" i="172" s="1"/>
  <c r="A19" i="172" s="1"/>
  <c r="A20" i="172" s="1"/>
  <c r="A21" i="172" s="1"/>
  <c r="A22" i="172" s="1"/>
  <c r="A23" i="172" s="1"/>
  <c r="A24" i="172" s="1"/>
  <c r="A25" i="172" s="1"/>
  <c r="A26" i="172" s="1"/>
  <c r="A27" i="172" s="1"/>
  <c r="A28" i="172" s="1"/>
  <c r="A29" i="172" s="1"/>
  <c r="A30" i="172" s="1"/>
  <c r="A31" i="172" s="1"/>
  <c r="A32" i="172" s="1"/>
  <c r="A33" i="172" s="1"/>
  <c r="A34" i="172" s="1"/>
  <c r="A35" i="172" s="1"/>
  <c r="A36" i="172" s="1"/>
  <c r="A37" i="172" s="1"/>
  <c r="A38" i="172" s="1"/>
  <c r="A39" i="172" s="1"/>
  <c r="A40" i="172" s="1"/>
  <c r="A41" i="172" s="1"/>
  <c r="A42" i="172" s="1"/>
  <c r="A43" i="172" s="1"/>
  <c r="A44" i="172" s="1"/>
  <c r="A45" i="172" s="1"/>
  <c r="A46" i="172" s="1"/>
  <c r="A47" i="172" s="1"/>
  <c r="A48" i="172" s="1"/>
  <c r="A49" i="172" s="1"/>
  <c r="A50" i="172" s="1"/>
  <c r="A51" i="172" s="1"/>
  <c r="A52" i="172" s="1"/>
  <c r="A53" i="172" s="1"/>
  <c r="A54" i="172" s="1"/>
  <c r="A55" i="172" s="1"/>
  <c r="A56" i="172" s="1"/>
  <c r="A57" i="172" s="1"/>
  <c r="A58" i="172" s="1"/>
  <c r="A59" i="172" s="1"/>
  <c r="A60" i="172" s="1"/>
  <c r="A61" i="172" s="1"/>
  <c r="A62" i="172" s="1"/>
  <c r="A63" i="172" s="1"/>
  <c r="A64" i="172" s="1"/>
  <c r="A65" i="172" s="1"/>
  <c r="A66" i="172" s="1"/>
  <c r="A67" i="172" s="1"/>
  <c r="A68" i="172" s="1"/>
  <c r="A69" i="172" s="1"/>
  <c r="A70" i="172" s="1"/>
  <c r="A71" i="172" s="1"/>
  <c r="A72" i="172" s="1"/>
  <c r="A73" i="172" s="1"/>
  <c r="A74" i="172" s="1"/>
  <c r="A75" i="172" s="1"/>
  <c r="A76" i="172" s="1"/>
  <c r="A77" i="172" s="1"/>
  <c r="A78" i="172" s="1"/>
  <c r="A79" i="172" s="1"/>
  <c r="A80" i="172" s="1"/>
  <c r="A81" i="172" s="1"/>
  <c r="A82" i="172" s="1"/>
  <c r="A83" i="172" s="1"/>
  <c r="A84" i="172" s="1"/>
  <c r="A85" i="172" s="1"/>
  <c r="A86" i="172" s="1"/>
  <c r="A87" i="172" s="1"/>
  <c r="A88" i="172" s="1"/>
  <c r="A89" i="172" s="1"/>
  <c r="A90" i="172" s="1"/>
  <c r="A91" i="172" s="1"/>
  <c r="A7" i="172"/>
  <c r="F1" i="172"/>
  <c r="E1" i="172"/>
  <c r="D1" i="172"/>
  <c r="C1" i="172"/>
  <c r="B1" i="172"/>
  <c r="A8" i="171"/>
  <c r="A9" i="171" s="1"/>
  <c r="A10" i="171" s="1"/>
  <c r="A11" i="171" s="1"/>
  <c r="A12" i="171" s="1"/>
  <c r="A13" i="171" s="1"/>
  <c r="A14" i="171" s="1"/>
  <c r="A15" i="171" s="1"/>
  <c r="A16" i="171" s="1"/>
  <c r="A17" i="171" s="1"/>
  <c r="A18" i="171" s="1"/>
  <c r="A19" i="171" s="1"/>
  <c r="A20" i="171" s="1"/>
  <c r="A21" i="171" s="1"/>
  <c r="A22" i="171" s="1"/>
  <c r="A23" i="171" s="1"/>
  <c r="A24" i="171" s="1"/>
  <c r="A25" i="171" s="1"/>
  <c r="A26" i="171" s="1"/>
  <c r="A27" i="171" s="1"/>
  <c r="A28" i="171" s="1"/>
  <c r="A29" i="171" s="1"/>
  <c r="A30" i="171" s="1"/>
  <c r="A31" i="171" s="1"/>
  <c r="A32" i="171" s="1"/>
  <c r="A33" i="171" s="1"/>
  <c r="A34" i="171" s="1"/>
  <c r="A35" i="171" s="1"/>
  <c r="A36" i="171" s="1"/>
  <c r="A37" i="171" s="1"/>
  <c r="A38" i="171" s="1"/>
  <c r="A39" i="171" s="1"/>
  <c r="A40" i="171" s="1"/>
  <c r="A41" i="171" s="1"/>
  <c r="A42" i="171" s="1"/>
  <c r="A43" i="171" s="1"/>
  <c r="A44" i="171" s="1"/>
  <c r="A45" i="171" s="1"/>
  <c r="A46" i="171" s="1"/>
  <c r="A47" i="171" s="1"/>
  <c r="A48" i="171" s="1"/>
  <c r="A49" i="171" s="1"/>
  <c r="A50" i="171" s="1"/>
  <c r="A51" i="171" s="1"/>
  <c r="A52" i="171" s="1"/>
  <c r="A53" i="171" s="1"/>
  <c r="A54" i="171" s="1"/>
  <c r="A55" i="171" s="1"/>
  <c r="A56" i="171" s="1"/>
  <c r="A57" i="171" s="1"/>
  <c r="A58" i="171" s="1"/>
  <c r="A59" i="171" s="1"/>
  <c r="A60" i="171" s="1"/>
  <c r="A61" i="171" s="1"/>
  <c r="A62" i="171" s="1"/>
  <c r="A63" i="171" s="1"/>
  <c r="A64" i="171" s="1"/>
  <c r="A65" i="171" s="1"/>
  <c r="A66" i="171" s="1"/>
  <c r="A67" i="171" s="1"/>
  <c r="A68" i="171" s="1"/>
  <c r="A69" i="171" s="1"/>
  <c r="A70" i="171" s="1"/>
  <c r="A71" i="171" s="1"/>
  <c r="A72" i="171" s="1"/>
  <c r="A73" i="171" s="1"/>
  <c r="A74" i="171" s="1"/>
  <c r="A75" i="171" s="1"/>
  <c r="A76" i="171" s="1"/>
  <c r="A77" i="171" s="1"/>
  <c r="A78" i="171" s="1"/>
  <c r="A79" i="171" s="1"/>
  <c r="A80" i="171" s="1"/>
  <c r="A81" i="171" s="1"/>
  <c r="A82" i="171" s="1"/>
  <c r="A83" i="171" s="1"/>
  <c r="A84" i="171" s="1"/>
  <c r="A85" i="171" s="1"/>
  <c r="A86" i="171" s="1"/>
  <c r="A87" i="171" s="1"/>
  <c r="A88" i="171" s="1"/>
  <c r="A89" i="171" s="1"/>
  <c r="A90" i="171" s="1"/>
  <c r="A91" i="171" s="1"/>
  <c r="A7" i="171"/>
  <c r="F1" i="171"/>
  <c r="E1" i="171"/>
  <c r="D1" i="171"/>
  <c r="C1" i="171"/>
  <c r="B1" i="171"/>
  <c r="A8" i="170"/>
  <c r="A9" i="170" s="1"/>
  <c r="A10" i="170" s="1"/>
  <c r="A11" i="170" s="1"/>
  <c r="A12" i="170" s="1"/>
  <c r="A13" i="170" s="1"/>
  <c r="A14" i="170" s="1"/>
  <c r="A15" i="170" s="1"/>
  <c r="A16" i="170" s="1"/>
  <c r="A17" i="170" s="1"/>
  <c r="A18" i="170" s="1"/>
  <c r="A19" i="170" s="1"/>
  <c r="A20" i="170" s="1"/>
  <c r="A21" i="170" s="1"/>
  <c r="A22" i="170" s="1"/>
  <c r="A23" i="170" s="1"/>
  <c r="A24" i="170" s="1"/>
  <c r="A25" i="170" s="1"/>
  <c r="A26" i="170" s="1"/>
  <c r="A27" i="170" s="1"/>
  <c r="A28" i="170" s="1"/>
  <c r="A29" i="170" s="1"/>
  <c r="A30" i="170" s="1"/>
  <c r="A31" i="170" s="1"/>
  <c r="A32" i="170" s="1"/>
  <c r="A33" i="170" s="1"/>
  <c r="A34" i="170" s="1"/>
  <c r="A35" i="170" s="1"/>
  <c r="A36" i="170" s="1"/>
  <c r="A37" i="170" s="1"/>
  <c r="A38" i="170" s="1"/>
  <c r="A39" i="170" s="1"/>
  <c r="A40" i="170" s="1"/>
  <c r="A41" i="170" s="1"/>
  <c r="A42" i="170" s="1"/>
  <c r="A43" i="170" s="1"/>
  <c r="A44" i="170" s="1"/>
  <c r="A45" i="170" s="1"/>
  <c r="A46" i="170" s="1"/>
  <c r="A47" i="170" s="1"/>
  <c r="A48" i="170" s="1"/>
  <c r="A49" i="170" s="1"/>
  <c r="A50" i="170" s="1"/>
  <c r="A51" i="170" s="1"/>
  <c r="A52" i="170" s="1"/>
  <c r="A53" i="170" s="1"/>
  <c r="A54" i="170" s="1"/>
  <c r="A55" i="170" s="1"/>
  <c r="A56" i="170" s="1"/>
  <c r="A57" i="170" s="1"/>
  <c r="A58" i="170" s="1"/>
  <c r="A59" i="170" s="1"/>
  <c r="A60" i="170" s="1"/>
  <c r="A61" i="170" s="1"/>
  <c r="A62" i="170" s="1"/>
  <c r="A63" i="170" s="1"/>
  <c r="A64" i="170" s="1"/>
  <c r="A65" i="170" s="1"/>
  <c r="A66" i="170" s="1"/>
  <c r="A67" i="170" s="1"/>
  <c r="A68" i="170" s="1"/>
  <c r="A69" i="170" s="1"/>
  <c r="A70" i="170" s="1"/>
  <c r="A71" i="170" s="1"/>
  <c r="A72" i="170" s="1"/>
  <c r="A73" i="170" s="1"/>
  <c r="A74" i="170" s="1"/>
  <c r="A75" i="170" s="1"/>
  <c r="A76" i="170" s="1"/>
  <c r="A77" i="170" s="1"/>
  <c r="A78" i="170" s="1"/>
  <c r="A79" i="170" s="1"/>
  <c r="A80" i="170" s="1"/>
  <c r="A81" i="170" s="1"/>
  <c r="A82" i="170" s="1"/>
  <c r="A83" i="170" s="1"/>
  <c r="A84" i="170" s="1"/>
  <c r="A85" i="170" s="1"/>
  <c r="A86" i="170" s="1"/>
  <c r="A87" i="170" s="1"/>
  <c r="A88" i="170" s="1"/>
  <c r="A89" i="170" s="1"/>
  <c r="A90" i="170" s="1"/>
  <c r="A91" i="170" s="1"/>
  <c r="A7" i="170"/>
  <c r="F1" i="170"/>
  <c r="E1" i="170"/>
  <c r="D1" i="170"/>
  <c r="C1" i="170"/>
  <c r="B1" i="170"/>
  <c r="A8" i="169"/>
  <c r="A9" i="169" s="1"/>
  <c r="A10" i="169" s="1"/>
  <c r="A11" i="169" s="1"/>
  <c r="A12" i="169" s="1"/>
  <c r="A13" i="169" s="1"/>
  <c r="A14" i="169" s="1"/>
  <c r="A15" i="169" s="1"/>
  <c r="A16" i="169" s="1"/>
  <c r="A17" i="169" s="1"/>
  <c r="A18" i="169" s="1"/>
  <c r="A19" i="169" s="1"/>
  <c r="A20" i="169" s="1"/>
  <c r="A21" i="169" s="1"/>
  <c r="A22" i="169" s="1"/>
  <c r="A23" i="169" s="1"/>
  <c r="A24" i="169" s="1"/>
  <c r="A25" i="169" s="1"/>
  <c r="A26" i="169" s="1"/>
  <c r="A27" i="169" s="1"/>
  <c r="A28" i="169" s="1"/>
  <c r="A29" i="169" s="1"/>
  <c r="A30" i="169" s="1"/>
  <c r="A31" i="169" s="1"/>
  <c r="A32" i="169" s="1"/>
  <c r="A33" i="169" s="1"/>
  <c r="A34" i="169" s="1"/>
  <c r="A35" i="169" s="1"/>
  <c r="A36" i="169" s="1"/>
  <c r="A37" i="169" s="1"/>
  <c r="A38" i="169" s="1"/>
  <c r="A39" i="169" s="1"/>
  <c r="A40" i="169" s="1"/>
  <c r="A41" i="169" s="1"/>
  <c r="A42" i="169" s="1"/>
  <c r="A43" i="169" s="1"/>
  <c r="A44" i="169" s="1"/>
  <c r="A45" i="169" s="1"/>
  <c r="A46" i="169" s="1"/>
  <c r="A47" i="169" s="1"/>
  <c r="A48" i="169" s="1"/>
  <c r="A49" i="169" s="1"/>
  <c r="A50" i="169" s="1"/>
  <c r="A51" i="169" s="1"/>
  <c r="A52" i="169" s="1"/>
  <c r="A53" i="169" s="1"/>
  <c r="A54" i="169" s="1"/>
  <c r="A55" i="169" s="1"/>
  <c r="A56" i="169" s="1"/>
  <c r="A57" i="169" s="1"/>
  <c r="A58" i="169" s="1"/>
  <c r="A59" i="169" s="1"/>
  <c r="A60" i="169" s="1"/>
  <c r="A61" i="169" s="1"/>
  <c r="A62" i="169" s="1"/>
  <c r="A63" i="169" s="1"/>
  <c r="A64" i="169" s="1"/>
  <c r="A65" i="169" s="1"/>
  <c r="A66" i="169" s="1"/>
  <c r="A67" i="169" s="1"/>
  <c r="A68" i="169" s="1"/>
  <c r="A69" i="169" s="1"/>
  <c r="A70" i="169" s="1"/>
  <c r="A71" i="169" s="1"/>
  <c r="A72" i="169" s="1"/>
  <c r="A73" i="169" s="1"/>
  <c r="A74" i="169" s="1"/>
  <c r="A75" i="169" s="1"/>
  <c r="A76" i="169" s="1"/>
  <c r="A77" i="169" s="1"/>
  <c r="A78" i="169" s="1"/>
  <c r="A79" i="169" s="1"/>
  <c r="A80" i="169" s="1"/>
  <c r="A81" i="169" s="1"/>
  <c r="A82" i="169" s="1"/>
  <c r="A83" i="169" s="1"/>
  <c r="A84" i="169" s="1"/>
  <c r="A85" i="169" s="1"/>
  <c r="A86" i="169" s="1"/>
  <c r="A87" i="169" s="1"/>
  <c r="A88" i="169" s="1"/>
  <c r="A89" i="169" s="1"/>
  <c r="A90" i="169" s="1"/>
  <c r="A91" i="169" s="1"/>
  <c r="A7" i="169"/>
  <c r="F1" i="169"/>
  <c r="E1" i="169"/>
  <c r="D1" i="169"/>
  <c r="C1" i="169"/>
  <c r="B1" i="169"/>
  <c r="A8" i="168"/>
  <c r="A9" i="168" s="1"/>
  <c r="A10" i="168" s="1"/>
  <c r="A11" i="168" s="1"/>
  <c r="A12" i="168" s="1"/>
  <c r="A13" i="168" s="1"/>
  <c r="A14" i="168" s="1"/>
  <c r="A15" i="168" s="1"/>
  <c r="A16" i="168" s="1"/>
  <c r="A17" i="168" s="1"/>
  <c r="A18" i="168" s="1"/>
  <c r="A19" i="168" s="1"/>
  <c r="A20" i="168" s="1"/>
  <c r="A21" i="168" s="1"/>
  <c r="A22" i="168" s="1"/>
  <c r="A23" i="168" s="1"/>
  <c r="A24" i="168" s="1"/>
  <c r="A25" i="168" s="1"/>
  <c r="A26" i="168" s="1"/>
  <c r="A27" i="168" s="1"/>
  <c r="A28" i="168" s="1"/>
  <c r="A29" i="168" s="1"/>
  <c r="A30" i="168" s="1"/>
  <c r="A31" i="168" s="1"/>
  <c r="A32" i="168" s="1"/>
  <c r="A33" i="168" s="1"/>
  <c r="A34" i="168" s="1"/>
  <c r="A35" i="168" s="1"/>
  <c r="A36" i="168" s="1"/>
  <c r="A37" i="168" s="1"/>
  <c r="A38" i="168" s="1"/>
  <c r="A39" i="168" s="1"/>
  <c r="A40" i="168" s="1"/>
  <c r="A41" i="168" s="1"/>
  <c r="A42" i="168" s="1"/>
  <c r="A43" i="168" s="1"/>
  <c r="A44" i="168" s="1"/>
  <c r="A45" i="168" s="1"/>
  <c r="A46" i="168" s="1"/>
  <c r="A47" i="168" s="1"/>
  <c r="A48" i="168" s="1"/>
  <c r="A49" i="168" s="1"/>
  <c r="A50" i="168" s="1"/>
  <c r="A51" i="168" s="1"/>
  <c r="A52" i="168" s="1"/>
  <c r="A53" i="168" s="1"/>
  <c r="A54" i="168" s="1"/>
  <c r="A55" i="168" s="1"/>
  <c r="A56" i="168" s="1"/>
  <c r="A57" i="168" s="1"/>
  <c r="A58" i="168" s="1"/>
  <c r="A59" i="168" s="1"/>
  <c r="A60" i="168" s="1"/>
  <c r="A61" i="168" s="1"/>
  <c r="A62" i="168" s="1"/>
  <c r="A63" i="168" s="1"/>
  <c r="A64" i="168" s="1"/>
  <c r="A65" i="168" s="1"/>
  <c r="A66" i="168" s="1"/>
  <c r="A67" i="168" s="1"/>
  <c r="A68" i="168" s="1"/>
  <c r="A69" i="168" s="1"/>
  <c r="A70" i="168" s="1"/>
  <c r="A71" i="168" s="1"/>
  <c r="A72" i="168" s="1"/>
  <c r="A73" i="168" s="1"/>
  <c r="A74" i="168" s="1"/>
  <c r="A75" i="168" s="1"/>
  <c r="A76" i="168" s="1"/>
  <c r="A77" i="168" s="1"/>
  <c r="A78" i="168" s="1"/>
  <c r="A79" i="168" s="1"/>
  <c r="A80" i="168" s="1"/>
  <c r="A81" i="168" s="1"/>
  <c r="A82" i="168" s="1"/>
  <c r="A83" i="168" s="1"/>
  <c r="A84" i="168" s="1"/>
  <c r="A85" i="168" s="1"/>
  <c r="A86" i="168" s="1"/>
  <c r="A87" i="168" s="1"/>
  <c r="A88" i="168" s="1"/>
  <c r="A89" i="168" s="1"/>
  <c r="A90" i="168" s="1"/>
  <c r="A91" i="168" s="1"/>
  <c r="A7" i="168"/>
  <c r="F1" i="168"/>
  <c r="E1" i="168"/>
  <c r="D1" i="168"/>
  <c r="C1" i="168"/>
  <c r="B1" i="168"/>
  <c r="A8" i="167"/>
  <c r="A9" i="167" s="1"/>
  <c r="A10" i="167" s="1"/>
  <c r="A11" i="167" s="1"/>
  <c r="A12" i="167" s="1"/>
  <c r="A13" i="167" s="1"/>
  <c r="A14" i="167" s="1"/>
  <c r="A15" i="167" s="1"/>
  <c r="A16" i="167" s="1"/>
  <c r="A17" i="167" s="1"/>
  <c r="A18" i="167" s="1"/>
  <c r="A19" i="167" s="1"/>
  <c r="A20" i="167" s="1"/>
  <c r="A21" i="167" s="1"/>
  <c r="A22" i="167" s="1"/>
  <c r="A23" i="167" s="1"/>
  <c r="A24" i="167" s="1"/>
  <c r="A25" i="167" s="1"/>
  <c r="A26" i="167" s="1"/>
  <c r="A27" i="167" s="1"/>
  <c r="A28" i="167" s="1"/>
  <c r="A29" i="167" s="1"/>
  <c r="A30" i="167" s="1"/>
  <c r="A31" i="167" s="1"/>
  <c r="A32" i="167" s="1"/>
  <c r="A33" i="167" s="1"/>
  <c r="A34" i="167" s="1"/>
  <c r="A35" i="167" s="1"/>
  <c r="A36" i="167" s="1"/>
  <c r="A37" i="167" s="1"/>
  <c r="A38" i="167" s="1"/>
  <c r="A39" i="167" s="1"/>
  <c r="A40" i="167" s="1"/>
  <c r="A41" i="167" s="1"/>
  <c r="A42" i="167" s="1"/>
  <c r="A43" i="167" s="1"/>
  <c r="A44" i="167" s="1"/>
  <c r="A45" i="167" s="1"/>
  <c r="A46" i="167" s="1"/>
  <c r="A47" i="167" s="1"/>
  <c r="A48" i="167" s="1"/>
  <c r="A49" i="167" s="1"/>
  <c r="A50" i="167" s="1"/>
  <c r="A51" i="167" s="1"/>
  <c r="A52" i="167" s="1"/>
  <c r="A53" i="167" s="1"/>
  <c r="A54" i="167" s="1"/>
  <c r="A55" i="167" s="1"/>
  <c r="A56" i="167" s="1"/>
  <c r="A57" i="167" s="1"/>
  <c r="A58" i="167" s="1"/>
  <c r="A59" i="167" s="1"/>
  <c r="A60" i="167" s="1"/>
  <c r="A61" i="167" s="1"/>
  <c r="A62" i="167" s="1"/>
  <c r="A63" i="167" s="1"/>
  <c r="A64" i="167" s="1"/>
  <c r="A65" i="167" s="1"/>
  <c r="A66" i="167" s="1"/>
  <c r="A67" i="167" s="1"/>
  <c r="A68" i="167" s="1"/>
  <c r="A69" i="167" s="1"/>
  <c r="A70" i="167" s="1"/>
  <c r="A71" i="167" s="1"/>
  <c r="A72" i="167" s="1"/>
  <c r="A73" i="167" s="1"/>
  <c r="A74" i="167" s="1"/>
  <c r="A75" i="167" s="1"/>
  <c r="A76" i="167" s="1"/>
  <c r="A77" i="167" s="1"/>
  <c r="A78" i="167" s="1"/>
  <c r="A79" i="167" s="1"/>
  <c r="A80" i="167" s="1"/>
  <c r="A81" i="167" s="1"/>
  <c r="A82" i="167" s="1"/>
  <c r="A83" i="167" s="1"/>
  <c r="A84" i="167" s="1"/>
  <c r="A85" i="167" s="1"/>
  <c r="A86" i="167" s="1"/>
  <c r="A87" i="167" s="1"/>
  <c r="A88" i="167" s="1"/>
  <c r="A89" i="167" s="1"/>
  <c r="A90" i="167" s="1"/>
  <c r="A91" i="167" s="1"/>
  <c r="A7" i="167"/>
  <c r="F1" i="167"/>
  <c r="E1" i="167"/>
  <c r="D1" i="167"/>
  <c r="C1" i="167"/>
  <c r="B1" i="167"/>
  <c r="A8" i="166"/>
  <c r="A9" i="166" s="1"/>
  <c r="A10" i="166" s="1"/>
  <c r="A11" i="166" s="1"/>
  <c r="A12" i="166" s="1"/>
  <c r="A13" i="166" s="1"/>
  <c r="A14" i="166" s="1"/>
  <c r="A15" i="166" s="1"/>
  <c r="A16" i="166" s="1"/>
  <c r="A17" i="166" s="1"/>
  <c r="A18" i="166" s="1"/>
  <c r="A19" i="166" s="1"/>
  <c r="A20" i="166" s="1"/>
  <c r="A21" i="166" s="1"/>
  <c r="A22" i="166" s="1"/>
  <c r="A23" i="166" s="1"/>
  <c r="A24" i="166" s="1"/>
  <c r="A25" i="166" s="1"/>
  <c r="A26" i="166" s="1"/>
  <c r="A27" i="166" s="1"/>
  <c r="A28" i="166" s="1"/>
  <c r="A29" i="166" s="1"/>
  <c r="A30" i="166" s="1"/>
  <c r="A31" i="166" s="1"/>
  <c r="A32" i="166" s="1"/>
  <c r="A33" i="166" s="1"/>
  <c r="A34" i="166" s="1"/>
  <c r="A35" i="166" s="1"/>
  <c r="A36" i="166" s="1"/>
  <c r="A37" i="166" s="1"/>
  <c r="A38" i="166" s="1"/>
  <c r="A39" i="166" s="1"/>
  <c r="A40" i="166" s="1"/>
  <c r="A41" i="166" s="1"/>
  <c r="A42" i="166" s="1"/>
  <c r="A43" i="166" s="1"/>
  <c r="A44" i="166" s="1"/>
  <c r="A45" i="166" s="1"/>
  <c r="A46" i="166" s="1"/>
  <c r="A47" i="166" s="1"/>
  <c r="A48" i="166" s="1"/>
  <c r="A49" i="166" s="1"/>
  <c r="A50" i="166" s="1"/>
  <c r="A51" i="166" s="1"/>
  <c r="A52" i="166" s="1"/>
  <c r="A53" i="166" s="1"/>
  <c r="A54" i="166" s="1"/>
  <c r="A55" i="166" s="1"/>
  <c r="A56" i="166" s="1"/>
  <c r="A57" i="166" s="1"/>
  <c r="A58" i="166" s="1"/>
  <c r="A59" i="166" s="1"/>
  <c r="A60" i="166" s="1"/>
  <c r="A61" i="166" s="1"/>
  <c r="A62" i="166" s="1"/>
  <c r="A63" i="166" s="1"/>
  <c r="A64" i="166" s="1"/>
  <c r="A65" i="166" s="1"/>
  <c r="A66" i="166" s="1"/>
  <c r="A67" i="166" s="1"/>
  <c r="A68" i="166" s="1"/>
  <c r="A69" i="166" s="1"/>
  <c r="A70" i="166" s="1"/>
  <c r="A71" i="166" s="1"/>
  <c r="A72" i="166" s="1"/>
  <c r="A73" i="166" s="1"/>
  <c r="A74" i="166" s="1"/>
  <c r="A75" i="166" s="1"/>
  <c r="A76" i="166" s="1"/>
  <c r="A77" i="166" s="1"/>
  <c r="A78" i="166" s="1"/>
  <c r="A79" i="166" s="1"/>
  <c r="A80" i="166" s="1"/>
  <c r="A81" i="166" s="1"/>
  <c r="A82" i="166" s="1"/>
  <c r="A83" i="166" s="1"/>
  <c r="A84" i="166" s="1"/>
  <c r="A85" i="166" s="1"/>
  <c r="A86" i="166" s="1"/>
  <c r="A87" i="166" s="1"/>
  <c r="A88" i="166" s="1"/>
  <c r="A89" i="166" s="1"/>
  <c r="A90" i="166" s="1"/>
  <c r="A91" i="166" s="1"/>
  <c r="A7" i="166"/>
  <c r="F1" i="166"/>
  <c r="E1" i="166"/>
  <c r="D1" i="166"/>
  <c r="C1" i="166"/>
  <c r="B1" i="166"/>
  <c r="A8" i="165"/>
  <c r="A9" i="165" s="1"/>
  <c r="A10" i="165" s="1"/>
  <c r="A11" i="165" s="1"/>
  <c r="A12" i="165" s="1"/>
  <c r="A13" i="165" s="1"/>
  <c r="A14" i="165" s="1"/>
  <c r="A15" i="165" s="1"/>
  <c r="A16" i="165" s="1"/>
  <c r="A17" i="165" s="1"/>
  <c r="A18" i="165" s="1"/>
  <c r="A19" i="165" s="1"/>
  <c r="A20" i="165" s="1"/>
  <c r="A21" i="165" s="1"/>
  <c r="A22" i="165" s="1"/>
  <c r="A23" i="165" s="1"/>
  <c r="A24" i="165" s="1"/>
  <c r="A25" i="165" s="1"/>
  <c r="A26" i="165" s="1"/>
  <c r="A27" i="165" s="1"/>
  <c r="A28" i="165" s="1"/>
  <c r="A29" i="165" s="1"/>
  <c r="A30" i="165" s="1"/>
  <c r="A31" i="165" s="1"/>
  <c r="A32" i="165" s="1"/>
  <c r="A33" i="165" s="1"/>
  <c r="A34" i="165" s="1"/>
  <c r="A35" i="165" s="1"/>
  <c r="A36" i="165" s="1"/>
  <c r="A37" i="165" s="1"/>
  <c r="A38" i="165" s="1"/>
  <c r="A39" i="165" s="1"/>
  <c r="A40" i="165" s="1"/>
  <c r="A41" i="165" s="1"/>
  <c r="A42" i="165" s="1"/>
  <c r="A43" i="165" s="1"/>
  <c r="A44" i="165" s="1"/>
  <c r="A45" i="165" s="1"/>
  <c r="A46" i="165" s="1"/>
  <c r="A47" i="165" s="1"/>
  <c r="A48" i="165" s="1"/>
  <c r="A49" i="165" s="1"/>
  <c r="A50" i="165" s="1"/>
  <c r="A51" i="165" s="1"/>
  <c r="A52" i="165" s="1"/>
  <c r="A53" i="165" s="1"/>
  <c r="A54" i="165" s="1"/>
  <c r="A55" i="165" s="1"/>
  <c r="A56" i="165" s="1"/>
  <c r="A57" i="165" s="1"/>
  <c r="A58" i="165" s="1"/>
  <c r="A59" i="165" s="1"/>
  <c r="A60" i="165" s="1"/>
  <c r="A61" i="165" s="1"/>
  <c r="A62" i="165" s="1"/>
  <c r="A63" i="165" s="1"/>
  <c r="A64" i="165" s="1"/>
  <c r="A65" i="165" s="1"/>
  <c r="A66" i="165" s="1"/>
  <c r="A67" i="165" s="1"/>
  <c r="A68" i="165" s="1"/>
  <c r="A69" i="165" s="1"/>
  <c r="A70" i="165" s="1"/>
  <c r="A71" i="165" s="1"/>
  <c r="A72" i="165" s="1"/>
  <c r="A73" i="165" s="1"/>
  <c r="A74" i="165" s="1"/>
  <c r="A75" i="165" s="1"/>
  <c r="A76" i="165" s="1"/>
  <c r="A77" i="165" s="1"/>
  <c r="A78" i="165" s="1"/>
  <c r="A79" i="165" s="1"/>
  <c r="A80" i="165" s="1"/>
  <c r="A81" i="165" s="1"/>
  <c r="A82" i="165" s="1"/>
  <c r="A83" i="165" s="1"/>
  <c r="A84" i="165" s="1"/>
  <c r="A85" i="165" s="1"/>
  <c r="A86" i="165" s="1"/>
  <c r="A87" i="165" s="1"/>
  <c r="A88" i="165" s="1"/>
  <c r="A89" i="165" s="1"/>
  <c r="A90" i="165" s="1"/>
  <c r="A91" i="165" s="1"/>
  <c r="A7" i="165"/>
  <c r="F1" i="165"/>
  <c r="E1" i="165"/>
  <c r="D1" i="165"/>
  <c r="C1" i="165"/>
  <c r="B1" i="165"/>
  <c r="A8" i="164"/>
  <c r="A9" i="164" s="1"/>
  <c r="A10" i="164" s="1"/>
  <c r="A11" i="164" s="1"/>
  <c r="A12" i="164" s="1"/>
  <c r="A13" i="164" s="1"/>
  <c r="A14" i="164" s="1"/>
  <c r="A15" i="164" s="1"/>
  <c r="A16" i="164" s="1"/>
  <c r="A17" i="164" s="1"/>
  <c r="A18" i="164" s="1"/>
  <c r="A19" i="164" s="1"/>
  <c r="A20" i="164" s="1"/>
  <c r="A21" i="164" s="1"/>
  <c r="A22" i="164" s="1"/>
  <c r="A23" i="164" s="1"/>
  <c r="A24" i="164" s="1"/>
  <c r="A25" i="164" s="1"/>
  <c r="A26" i="164" s="1"/>
  <c r="A27" i="164" s="1"/>
  <c r="A28" i="164" s="1"/>
  <c r="A29" i="164" s="1"/>
  <c r="A30" i="164" s="1"/>
  <c r="A31" i="164" s="1"/>
  <c r="A32" i="164" s="1"/>
  <c r="A33" i="164" s="1"/>
  <c r="A34" i="164" s="1"/>
  <c r="A35" i="164" s="1"/>
  <c r="A36" i="164" s="1"/>
  <c r="A37" i="164" s="1"/>
  <c r="A38" i="164" s="1"/>
  <c r="A39" i="164" s="1"/>
  <c r="A40" i="164" s="1"/>
  <c r="A41" i="164" s="1"/>
  <c r="A42" i="164" s="1"/>
  <c r="A43" i="164" s="1"/>
  <c r="A44" i="164" s="1"/>
  <c r="A45" i="164" s="1"/>
  <c r="A46" i="164" s="1"/>
  <c r="A47" i="164" s="1"/>
  <c r="A48" i="164" s="1"/>
  <c r="A49" i="164" s="1"/>
  <c r="A50" i="164" s="1"/>
  <c r="A51" i="164" s="1"/>
  <c r="A52" i="164" s="1"/>
  <c r="A53" i="164" s="1"/>
  <c r="A54" i="164" s="1"/>
  <c r="A55" i="164" s="1"/>
  <c r="A56" i="164" s="1"/>
  <c r="A57" i="164" s="1"/>
  <c r="A58" i="164" s="1"/>
  <c r="A59" i="164" s="1"/>
  <c r="A60" i="164" s="1"/>
  <c r="A61" i="164" s="1"/>
  <c r="A62" i="164" s="1"/>
  <c r="A63" i="164" s="1"/>
  <c r="A64" i="164" s="1"/>
  <c r="A65" i="164" s="1"/>
  <c r="A66" i="164" s="1"/>
  <c r="A67" i="164" s="1"/>
  <c r="A68" i="164" s="1"/>
  <c r="A69" i="164" s="1"/>
  <c r="A70" i="164" s="1"/>
  <c r="A71" i="164" s="1"/>
  <c r="A72" i="164" s="1"/>
  <c r="A73" i="164" s="1"/>
  <c r="A74" i="164" s="1"/>
  <c r="A75" i="164" s="1"/>
  <c r="A76" i="164" s="1"/>
  <c r="A77" i="164" s="1"/>
  <c r="A78" i="164" s="1"/>
  <c r="A79" i="164" s="1"/>
  <c r="A80" i="164" s="1"/>
  <c r="A81" i="164" s="1"/>
  <c r="A82" i="164" s="1"/>
  <c r="A83" i="164" s="1"/>
  <c r="A84" i="164" s="1"/>
  <c r="A85" i="164" s="1"/>
  <c r="A86" i="164" s="1"/>
  <c r="A87" i="164" s="1"/>
  <c r="A88" i="164" s="1"/>
  <c r="A89" i="164" s="1"/>
  <c r="A90" i="164" s="1"/>
  <c r="A91" i="164" s="1"/>
  <c r="A7" i="164"/>
  <c r="F1" i="164"/>
  <c r="E1" i="164"/>
  <c r="D1" i="164"/>
  <c r="C1" i="164"/>
  <c r="B1" i="164"/>
  <c r="A8" i="163"/>
  <c r="A9" i="163" s="1"/>
  <c r="A10" i="163" s="1"/>
  <c r="A11" i="163" s="1"/>
  <c r="A12" i="163" s="1"/>
  <c r="A13" i="163" s="1"/>
  <c r="A14" i="163" s="1"/>
  <c r="A15" i="163" s="1"/>
  <c r="A16" i="163" s="1"/>
  <c r="A17" i="163" s="1"/>
  <c r="A18" i="163" s="1"/>
  <c r="A19" i="163" s="1"/>
  <c r="A20" i="163" s="1"/>
  <c r="A21" i="163" s="1"/>
  <c r="A22" i="163" s="1"/>
  <c r="A23" i="163" s="1"/>
  <c r="A24" i="163" s="1"/>
  <c r="A25" i="163" s="1"/>
  <c r="A26" i="163" s="1"/>
  <c r="A27" i="163" s="1"/>
  <c r="A28" i="163" s="1"/>
  <c r="A29" i="163" s="1"/>
  <c r="A30" i="163" s="1"/>
  <c r="A31" i="163" s="1"/>
  <c r="A32" i="163" s="1"/>
  <c r="A33" i="163" s="1"/>
  <c r="A34" i="163" s="1"/>
  <c r="A35" i="163" s="1"/>
  <c r="A36" i="163" s="1"/>
  <c r="A37" i="163" s="1"/>
  <c r="A38" i="163" s="1"/>
  <c r="A39" i="163" s="1"/>
  <c r="A40" i="163" s="1"/>
  <c r="A41" i="163" s="1"/>
  <c r="A42" i="163" s="1"/>
  <c r="A43" i="163" s="1"/>
  <c r="A44" i="163" s="1"/>
  <c r="A45" i="163" s="1"/>
  <c r="A46" i="163" s="1"/>
  <c r="A47" i="163" s="1"/>
  <c r="A48" i="163" s="1"/>
  <c r="A49" i="163" s="1"/>
  <c r="A50" i="163" s="1"/>
  <c r="A51" i="163" s="1"/>
  <c r="A52" i="163" s="1"/>
  <c r="A53" i="163" s="1"/>
  <c r="A54" i="163" s="1"/>
  <c r="A55" i="163" s="1"/>
  <c r="A56" i="163" s="1"/>
  <c r="A57" i="163" s="1"/>
  <c r="A58" i="163" s="1"/>
  <c r="A59" i="163" s="1"/>
  <c r="A60" i="163" s="1"/>
  <c r="A61" i="163" s="1"/>
  <c r="A62" i="163" s="1"/>
  <c r="A63" i="163" s="1"/>
  <c r="A64" i="163" s="1"/>
  <c r="A65" i="163" s="1"/>
  <c r="A66" i="163" s="1"/>
  <c r="A67" i="163" s="1"/>
  <c r="A68" i="163" s="1"/>
  <c r="A69" i="163" s="1"/>
  <c r="A70" i="163" s="1"/>
  <c r="A71" i="163" s="1"/>
  <c r="A72" i="163" s="1"/>
  <c r="A73" i="163" s="1"/>
  <c r="A74" i="163" s="1"/>
  <c r="A75" i="163" s="1"/>
  <c r="A76" i="163" s="1"/>
  <c r="A77" i="163" s="1"/>
  <c r="A78" i="163" s="1"/>
  <c r="A79" i="163" s="1"/>
  <c r="A80" i="163" s="1"/>
  <c r="A81" i="163" s="1"/>
  <c r="A82" i="163" s="1"/>
  <c r="A83" i="163" s="1"/>
  <c r="A84" i="163" s="1"/>
  <c r="A85" i="163" s="1"/>
  <c r="A86" i="163" s="1"/>
  <c r="A87" i="163" s="1"/>
  <c r="A88" i="163" s="1"/>
  <c r="A89" i="163" s="1"/>
  <c r="A90" i="163" s="1"/>
  <c r="A91" i="163" s="1"/>
  <c r="A7" i="163"/>
  <c r="F1" i="163"/>
  <c r="E1" i="163"/>
  <c r="D1" i="163"/>
  <c r="C1" i="163"/>
  <c r="B1" i="163"/>
  <c r="A8" i="162"/>
  <c r="A9" i="162" s="1"/>
  <c r="A10" i="162" s="1"/>
  <c r="A11" i="162" s="1"/>
  <c r="A12" i="162" s="1"/>
  <c r="A13" i="162" s="1"/>
  <c r="A14" i="162" s="1"/>
  <c r="A15" i="162" s="1"/>
  <c r="A16" i="162" s="1"/>
  <c r="A17" i="162" s="1"/>
  <c r="A18" i="162" s="1"/>
  <c r="A19" i="162" s="1"/>
  <c r="A20" i="162" s="1"/>
  <c r="A21" i="162" s="1"/>
  <c r="A22" i="162" s="1"/>
  <c r="A23" i="162" s="1"/>
  <c r="A24" i="162" s="1"/>
  <c r="A25" i="162" s="1"/>
  <c r="A26" i="162" s="1"/>
  <c r="A27" i="162" s="1"/>
  <c r="A28" i="162" s="1"/>
  <c r="A29" i="162" s="1"/>
  <c r="A30" i="162" s="1"/>
  <c r="A31" i="162" s="1"/>
  <c r="A32" i="162" s="1"/>
  <c r="A33" i="162" s="1"/>
  <c r="A34" i="162" s="1"/>
  <c r="A35" i="162" s="1"/>
  <c r="A36" i="162" s="1"/>
  <c r="A37" i="162" s="1"/>
  <c r="A38" i="162" s="1"/>
  <c r="A39" i="162" s="1"/>
  <c r="A40" i="162" s="1"/>
  <c r="A41" i="162" s="1"/>
  <c r="A42" i="162" s="1"/>
  <c r="A43" i="162" s="1"/>
  <c r="A44" i="162" s="1"/>
  <c r="A45" i="162" s="1"/>
  <c r="A46" i="162" s="1"/>
  <c r="A47" i="162" s="1"/>
  <c r="A48" i="162" s="1"/>
  <c r="A49" i="162" s="1"/>
  <c r="A50" i="162" s="1"/>
  <c r="A51" i="162" s="1"/>
  <c r="A52" i="162" s="1"/>
  <c r="A53" i="162" s="1"/>
  <c r="A54" i="162" s="1"/>
  <c r="A55" i="162" s="1"/>
  <c r="A56" i="162" s="1"/>
  <c r="A57" i="162" s="1"/>
  <c r="A58" i="162" s="1"/>
  <c r="A59" i="162" s="1"/>
  <c r="A60" i="162" s="1"/>
  <c r="A61" i="162" s="1"/>
  <c r="A62" i="162" s="1"/>
  <c r="A63" i="162" s="1"/>
  <c r="A64" i="162" s="1"/>
  <c r="A65" i="162" s="1"/>
  <c r="A66" i="162" s="1"/>
  <c r="A67" i="162" s="1"/>
  <c r="A68" i="162" s="1"/>
  <c r="A69" i="162" s="1"/>
  <c r="A70" i="162" s="1"/>
  <c r="A71" i="162" s="1"/>
  <c r="A72" i="162" s="1"/>
  <c r="A73" i="162" s="1"/>
  <c r="A74" i="162" s="1"/>
  <c r="A75" i="162" s="1"/>
  <c r="A76" i="162" s="1"/>
  <c r="A77" i="162" s="1"/>
  <c r="A78" i="162" s="1"/>
  <c r="A79" i="162" s="1"/>
  <c r="A80" i="162" s="1"/>
  <c r="A81" i="162" s="1"/>
  <c r="A82" i="162" s="1"/>
  <c r="A83" i="162" s="1"/>
  <c r="A84" i="162" s="1"/>
  <c r="A85" i="162" s="1"/>
  <c r="A86" i="162" s="1"/>
  <c r="A87" i="162" s="1"/>
  <c r="A88" i="162" s="1"/>
  <c r="A89" i="162" s="1"/>
  <c r="A90" i="162" s="1"/>
  <c r="A91" i="162" s="1"/>
  <c r="A7" i="162"/>
  <c r="F1" i="162"/>
  <c r="E1" i="162"/>
  <c r="D1" i="162"/>
  <c r="C1" i="162"/>
  <c r="B1" i="162"/>
  <c r="A8" i="161"/>
  <c r="A9" i="161" s="1"/>
  <c r="A10" i="161" s="1"/>
  <c r="A11" i="161" s="1"/>
  <c r="A12" i="161" s="1"/>
  <c r="A13" i="161" s="1"/>
  <c r="A14" i="161" s="1"/>
  <c r="A15" i="161" s="1"/>
  <c r="A16" i="161" s="1"/>
  <c r="A17" i="161" s="1"/>
  <c r="A18" i="161" s="1"/>
  <c r="A19" i="161" s="1"/>
  <c r="A20" i="161" s="1"/>
  <c r="A21" i="161" s="1"/>
  <c r="A22" i="161" s="1"/>
  <c r="A23" i="161" s="1"/>
  <c r="A24" i="161" s="1"/>
  <c r="A25" i="161" s="1"/>
  <c r="A26" i="161" s="1"/>
  <c r="A27" i="161" s="1"/>
  <c r="A28" i="161" s="1"/>
  <c r="A29" i="161" s="1"/>
  <c r="A30" i="161" s="1"/>
  <c r="A31" i="161" s="1"/>
  <c r="A32" i="161" s="1"/>
  <c r="A33" i="161" s="1"/>
  <c r="A34" i="161" s="1"/>
  <c r="A35" i="161" s="1"/>
  <c r="A36" i="161" s="1"/>
  <c r="A37" i="161" s="1"/>
  <c r="A38" i="161" s="1"/>
  <c r="A39" i="161" s="1"/>
  <c r="A40" i="161" s="1"/>
  <c r="A41" i="161" s="1"/>
  <c r="A42" i="161" s="1"/>
  <c r="A43" i="161" s="1"/>
  <c r="A44" i="161" s="1"/>
  <c r="A45" i="161" s="1"/>
  <c r="A46" i="161" s="1"/>
  <c r="A47" i="161" s="1"/>
  <c r="A48" i="161" s="1"/>
  <c r="A49" i="161" s="1"/>
  <c r="A50" i="161" s="1"/>
  <c r="A51" i="161" s="1"/>
  <c r="A52" i="161" s="1"/>
  <c r="A53" i="161" s="1"/>
  <c r="A54" i="161" s="1"/>
  <c r="A55" i="161" s="1"/>
  <c r="A56" i="161" s="1"/>
  <c r="A57" i="161" s="1"/>
  <c r="A58" i="161" s="1"/>
  <c r="A59" i="161" s="1"/>
  <c r="A60" i="161" s="1"/>
  <c r="A61" i="161" s="1"/>
  <c r="A62" i="161" s="1"/>
  <c r="A63" i="161" s="1"/>
  <c r="A64" i="161" s="1"/>
  <c r="A65" i="161" s="1"/>
  <c r="A66" i="161" s="1"/>
  <c r="A67" i="161" s="1"/>
  <c r="A68" i="161" s="1"/>
  <c r="A69" i="161" s="1"/>
  <c r="A70" i="161" s="1"/>
  <c r="A71" i="161" s="1"/>
  <c r="A72" i="161" s="1"/>
  <c r="A73" i="161" s="1"/>
  <c r="A74" i="161" s="1"/>
  <c r="A75" i="161" s="1"/>
  <c r="A76" i="161" s="1"/>
  <c r="A77" i="161" s="1"/>
  <c r="A78" i="161" s="1"/>
  <c r="A79" i="161" s="1"/>
  <c r="A80" i="161" s="1"/>
  <c r="A81" i="161" s="1"/>
  <c r="A82" i="161" s="1"/>
  <c r="A83" i="161" s="1"/>
  <c r="A84" i="161" s="1"/>
  <c r="A85" i="161" s="1"/>
  <c r="A86" i="161" s="1"/>
  <c r="A87" i="161" s="1"/>
  <c r="A88" i="161" s="1"/>
  <c r="A89" i="161" s="1"/>
  <c r="A90" i="161" s="1"/>
  <c r="A91" i="161" s="1"/>
  <c r="A7" i="161"/>
  <c r="F1" i="161"/>
  <c r="E1" i="161"/>
  <c r="D1" i="161"/>
  <c r="C1" i="161"/>
  <c r="B1" i="161"/>
  <c r="A8" i="160"/>
  <c r="A9" i="160" s="1"/>
  <c r="A10" i="160" s="1"/>
  <c r="A11" i="160" s="1"/>
  <c r="A12" i="160" s="1"/>
  <c r="A13" i="160" s="1"/>
  <c r="A14" i="160" s="1"/>
  <c r="A15" i="160" s="1"/>
  <c r="A16" i="160" s="1"/>
  <c r="A17" i="160" s="1"/>
  <c r="A18" i="160" s="1"/>
  <c r="A19" i="160" s="1"/>
  <c r="A20" i="160" s="1"/>
  <c r="A21" i="160" s="1"/>
  <c r="A22" i="160" s="1"/>
  <c r="A23" i="160" s="1"/>
  <c r="A24" i="160" s="1"/>
  <c r="A25" i="160" s="1"/>
  <c r="A26" i="160" s="1"/>
  <c r="A27" i="160" s="1"/>
  <c r="A28" i="160" s="1"/>
  <c r="A29" i="160" s="1"/>
  <c r="A30" i="160" s="1"/>
  <c r="A31" i="160" s="1"/>
  <c r="A32" i="160" s="1"/>
  <c r="A33" i="160" s="1"/>
  <c r="A34" i="160" s="1"/>
  <c r="A35" i="160" s="1"/>
  <c r="A36" i="160" s="1"/>
  <c r="A37" i="160" s="1"/>
  <c r="A38" i="160" s="1"/>
  <c r="A39" i="160" s="1"/>
  <c r="A40" i="160" s="1"/>
  <c r="A41" i="160" s="1"/>
  <c r="A42" i="160" s="1"/>
  <c r="A43" i="160" s="1"/>
  <c r="A44" i="160" s="1"/>
  <c r="A45" i="160" s="1"/>
  <c r="A46" i="160" s="1"/>
  <c r="A47" i="160" s="1"/>
  <c r="A48" i="160" s="1"/>
  <c r="A49" i="160" s="1"/>
  <c r="A50" i="160" s="1"/>
  <c r="A51" i="160" s="1"/>
  <c r="A52" i="160" s="1"/>
  <c r="A53" i="160" s="1"/>
  <c r="A54" i="160" s="1"/>
  <c r="A55" i="160" s="1"/>
  <c r="A56" i="160" s="1"/>
  <c r="A57" i="160" s="1"/>
  <c r="A58" i="160" s="1"/>
  <c r="A59" i="160" s="1"/>
  <c r="A60" i="160" s="1"/>
  <c r="A61" i="160" s="1"/>
  <c r="A62" i="160" s="1"/>
  <c r="A63" i="160" s="1"/>
  <c r="A64" i="160" s="1"/>
  <c r="A65" i="160" s="1"/>
  <c r="A66" i="160" s="1"/>
  <c r="A67" i="160" s="1"/>
  <c r="A68" i="160" s="1"/>
  <c r="A69" i="160" s="1"/>
  <c r="A70" i="160" s="1"/>
  <c r="A71" i="160" s="1"/>
  <c r="A72" i="160" s="1"/>
  <c r="A73" i="160" s="1"/>
  <c r="A74" i="160" s="1"/>
  <c r="A75" i="160" s="1"/>
  <c r="A76" i="160" s="1"/>
  <c r="A77" i="160" s="1"/>
  <c r="A78" i="160" s="1"/>
  <c r="A79" i="160" s="1"/>
  <c r="A80" i="160" s="1"/>
  <c r="A81" i="160" s="1"/>
  <c r="A82" i="160" s="1"/>
  <c r="A83" i="160" s="1"/>
  <c r="A84" i="160" s="1"/>
  <c r="A85" i="160" s="1"/>
  <c r="A86" i="160" s="1"/>
  <c r="A87" i="160" s="1"/>
  <c r="A88" i="160" s="1"/>
  <c r="A89" i="160" s="1"/>
  <c r="A90" i="160" s="1"/>
  <c r="A91" i="160" s="1"/>
  <c r="A7" i="160"/>
  <c r="F1" i="160"/>
  <c r="E1" i="160"/>
  <c r="D1" i="160"/>
  <c r="C1" i="160"/>
  <c r="B1" i="160"/>
  <c r="A8" i="159"/>
  <c r="A9" i="159" s="1"/>
  <c r="A10" i="159" s="1"/>
  <c r="A11" i="159" s="1"/>
  <c r="A12" i="159" s="1"/>
  <c r="A13" i="159" s="1"/>
  <c r="A14" i="159" s="1"/>
  <c r="A15" i="159" s="1"/>
  <c r="A16" i="159" s="1"/>
  <c r="A17" i="159" s="1"/>
  <c r="A18" i="159" s="1"/>
  <c r="A19" i="159" s="1"/>
  <c r="A20" i="159" s="1"/>
  <c r="A21" i="159" s="1"/>
  <c r="A22" i="159" s="1"/>
  <c r="A23" i="159" s="1"/>
  <c r="A24" i="159" s="1"/>
  <c r="A25" i="159" s="1"/>
  <c r="A26" i="159" s="1"/>
  <c r="A27" i="159" s="1"/>
  <c r="A28" i="159" s="1"/>
  <c r="A29" i="159" s="1"/>
  <c r="A30" i="159" s="1"/>
  <c r="A31" i="159" s="1"/>
  <c r="A32" i="159" s="1"/>
  <c r="A33" i="159" s="1"/>
  <c r="A34" i="159" s="1"/>
  <c r="A35" i="159" s="1"/>
  <c r="A36" i="159" s="1"/>
  <c r="A37" i="159" s="1"/>
  <c r="A38" i="159" s="1"/>
  <c r="A39" i="159" s="1"/>
  <c r="A40" i="159" s="1"/>
  <c r="A41" i="159" s="1"/>
  <c r="A42" i="159" s="1"/>
  <c r="A43" i="159" s="1"/>
  <c r="A44" i="159" s="1"/>
  <c r="A45" i="159" s="1"/>
  <c r="A46" i="159" s="1"/>
  <c r="A47" i="159" s="1"/>
  <c r="A48" i="159" s="1"/>
  <c r="A49" i="159" s="1"/>
  <c r="A50" i="159" s="1"/>
  <c r="A51" i="159" s="1"/>
  <c r="A52" i="159" s="1"/>
  <c r="A53" i="159" s="1"/>
  <c r="A54" i="159" s="1"/>
  <c r="A55" i="159" s="1"/>
  <c r="A56" i="159" s="1"/>
  <c r="A57" i="159" s="1"/>
  <c r="A58" i="159" s="1"/>
  <c r="A59" i="159" s="1"/>
  <c r="A60" i="159" s="1"/>
  <c r="A61" i="159" s="1"/>
  <c r="A62" i="159" s="1"/>
  <c r="A63" i="159" s="1"/>
  <c r="A64" i="159" s="1"/>
  <c r="A65" i="159" s="1"/>
  <c r="A66" i="159" s="1"/>
  <c r="A67" i="159" s="1"/>
  <c r="A68" i="159" s="1"/>
  <c r="A69" i="159" s="1"/>
  <c r="A70" i="159" s="1"/>
  <c r="A71" i="159" s="1"/>
  <c r="A72" i="159" s="1"/>
  <c r="A73" i="159" s="1"/>
  <c r="A74" i="159" s="1"/>
  <c r="A75" i="159" s="1"/>
  <c r="A76" i="159" s="1"/>
  <c r="A77" i="159" s="1"/>
  <c r="A78" i="159" s="1"/>
  <c r="A79" i="159" s="1"/>
  <c r="A80" i="159" s="1"/>
  <c r="A81" i="159" s="1"/>
  <c r="A82" i="159" s="1"/>
  <c r="A83" i="159" s="1"/>
  <c r="A84" i="159" s="1"/>
  <c r="A85" i="159" s="1"/>
  <c r="A86" i="159" s="1"/>
  <c r="A87" i="159" s="1"/>
  <c r="A88" i="159" s="1"/>
  <c r="A89" i="159" s="1"/>
  <c r="A90" i="159" s="1"/>
  <c r="A91" i="159" s="1"/>
  <c r="A7" i="159"/>
  <c r="F1" i="159"/>
  <c r="E1" i="159"/>
  <c r="D1" i="159"/>
  <c r="C1" i="159"/>
  <c r="B1" i="159"/>
  <c r="A8" i="158"/>
  <c r="A9" i="158" s="1"/>
  <c r="A10" i="158" s="1"/>
  <c r="A11" i="158" s="1"/>
  <c r="A12" i="158" s="1"/>
  <c r="A13" i="158" s="1"/>
  <c r="A14" i="158" s="1"/>
  <c r="A15" i="158" s="1"/>
  <c r="A16" i="158" s="1"/>
  <c r="A17" i="158" s="1"/>
  <c r="A18" i="158" s="1"/>
  <c r="A19" i="158" s="1"/>
  <c r="A20" i="158" s="1"/>
  <c r="A21" i="158" s="1"/>
  <c r="A22" i="158" s="1"/>
  <c r="A23" i="158" s="1"/>
  <c r="A24" i="158" s="1"/>
  <c r="A25" i="158" s="1"/>
  <c r="A26" i="158" s="1"/>
  <c r="A27" i="158" s="1"/>
  <c r="A28" i="158" s="1"/>
  <c r="A29" i="158" s="1"/>
  <c r="A30" i="158" s="1"/>
  <c r="A31" i="158" s="1"/>
  <c r="A32" i="158" s="1"/>
  <c r="A33" i="158" s="1"/>
  <c r="A34" i="158" s="1"/>
  <c r="A35" i="158" s="1"/>
  <c r="A36" i="158" s="1"/>
  <c r="A37" i="158" s="1"/>
  <c r="A38" i="158" s="1"/>
  <c r="A39" i="158" s="1"/>
  <c r="A40" i="158" s="1"/>
  <c r="A41" i="158" s="1"/>
  <c r="A42" i="158" s="1"/>
  <c r="A43" i="158" s="1"/>
  <c r="A44" i="158" s="1"/>
  <c r="A45" i="158" s="1"/>
  <c r="A46" i="158" s="1"/>
  <c r="A47" i="158" s="1"/>
  <c r="A48" i="158" s="1"/>
  <c r="A49" i="158" s="1"/>
  <c r="A50" i="158" s="1"/>
  <c r="A51" i="158" s="1"/>
  <c r="A52" i="158" s="1"/>
  <c r="A53" i="158" s="1"/>
  <c r="A54" i="158" s="1"/>
  <c r="A55" i="158" s="1"/>
  <c r="A56" i="158" s="1"/>
  <c r="A57" i="158" s="1"/>
  <c r="A58" i="158" s="1"/>
  <c r="A59" i="158" s="1"/>
  <c r="A60" i="158" s="1"/>
  <c r="A61" i="158" s="1"/>
  <c r="A62" i="158" s="1"/>
  <c r="A63" i="158" s="1"/>
  <c r="A64" i="158" s="1"/>
  <c r="A65" i="158" s="1"/>
  <c r="A66" i="158" s="1"/>
  <c r="A67" i="158" s="1"/>
  <c r="A68" i="158" s="1"/>
  <c r="A69" i="158" s="1"/>
  <c r="A70" i="158" s="1"/>
  <c r="A71" i="158" s="1"/>
  <c r="A72" i="158" s="1"/>
  <c r="A73" i="158" s="1"/>
  <c r="A74" i="158" s="1"/>
  <c r="A75" i="158" s="1"/>
  <c r="A76" i="158" s="1"/>
  <c r="A77" i="158" s="1"/>
  <c r="A78" i="158" s="1"/>
  <c r="A79" i="158" s="1"/>
  <c r="A80" i="158" s="1"/>
  <c r="A81" i="158" s="1"/>
  <c r="A82" i="158" s="1"/>
  <c r="A83" i="158" s="1"/>
  <c r="A84" i="158" s="1"/>
  <c r="A85" i="158" s="1"/>
  <c r="A86" i="158" s="1"/>
  <c r="A87" i="158" s="1"/>
  <c r="A88" i="158" s="1"/>
  <c r="A89" i="158" s="1"/>
  <c r="A90" i="158" s="1"/>
  <c r="A91" i="158" s="1"/>
  <c r="A7" i="158"/>
  <c r="F1" i="158"/>
  <c r="E1" i="158"/>
  <c r="D1" i="158"/>
  <c r="C1" i="158"/>
  <c r="B1" i="158"/>
  <c r="A8" i="157"/>
  <c r="A9" i="157" s="1"/>
  <c r="A10" i="157" s="1"/>
  <c r="A11" i="157" s="1"/>
  <c r="A12" i="157" s="1"/>
  <c r="A13" i="157" s="1"/>
  <c r="A14" i="157" s="1"/>
  <c r="A15" i="157" s="1"/>
  <c r="A16" i="157" s="1"/>
  <c r="A17" i="157" s="1"/>
  <c r="A18" i="157" s="1"/>
  <c r="A19" i="157" s="1"/>
  <c r="A20" i="157" s="1"/>
  <c r="A21" i="157" s="1"/>
  <c r="A22" i="157" s="1"/>
  <c r="A23" i="157" s="1"/>
  <c r="A24" i="157" s="1"/>
  <c r="A25" i="157" s="1"/>
  <c r="A26" i="157" s="1"/>
  <c r="A27" i="157" s="1"/>
  <c r="A28" i="157" s="1"/>
  <c r="A29" i="157" s="1"/>
  <c r="A30" i="157" s="1"/>
  <c r="A31" i="157" s="1"/>
  <c r="A32" i="157" s="1"/>
  <c r="A33" i="157" s="1"/>
  <c r="A34" i="157" s="1"/>
  <c r="A35" i="157" s="1"/>
  <c r="A36" i="157" s="1"/>
  <c r="A37" i="157" s="1"/>
  <c r="A38" i="157" s="1"/>
  <c r="A39" i="157" s="1"/>
  <c r="A40" i="157" s="1"/>
  <c r="A41" i="157" s="1"/>
  <c r="A42" i="157" s="1"/>
  <c r="A43" i="157" s="1"/>
  <c r="A44" i="157" s="1"/>
  <c r="A45" i="157" s="1"/>
  <c r="A46" i="157" s="1"/>
  <c r="A47" i="157" s="1"/>
  <c r="A48" i="157" s="1"/>
  <c r="A49" i="157" s="1"/>
  <c r="A50" i="157" s="1"/>
  <c r="A51" i="157" s="1"/>
  <c r="A52" i="157" s="1"/>
  <c r="A53" i="157" s="1"/>
  <c r="A54" i="157" s="1"/>
  <c r="A55" i="157" s="1"/>
  <c r="A56" i="157" s="1"/>
  <c r="A57" i="157" s="1"/>
  <c r="A58" i="157" s="1"/>
  <c r="A59" i="157" s="1"/>
  <c r="A60" i="157" s="1"/>
  <c r="A61" i="157" s="1"/>
  <c r="A62" i="157" s="1"/>
  <c r="A63" i="157" s="1"/>
  <c r="A64" i="157" s="1"/>
  <c r="A65" i="157" s="1"/>
  <c r="A66" i="157" s="1"/>
  <c r="A67" i="157" s="1"/>
  <c r="A68" i="157" s="1"/>
  <c r="A69" i="157" s="1"/>
  <c r="A70" i="157" s="1"/>
  <c r="A71" i="157" s="1"/>
  <c r="A72" i="157" s="1"/>
  <c r="A73" i="157" s="1"/>
  <c r="A74" i="157" s="1"/>
  <c r="A75" i="157" s="1"/>
  <c r="A76" i="157" s="1"/>
  <c r="A77" i="157" s="1"/>
  <c r="A78" i="157" s="1"/>
  <c r="A79" i="157" s="1"/>
  <c r="A80" i="157" s="1"/>
  <c r="A81" i="157" s="1"/>
  <c r="A82" i="157" s="1"/>
  <c r="A83" i="157" s="1"/>
  <c r="A84" i="157" s="1"/>
  <c r="A85" i="157" s="1"/>
  <c r="A86" i="157" s="1"/>
  <c r="A87" i="157" s="1"/>
  <c r="A88" i="157" s="1"/>
  <c r="A89" i="157" s="1"/>
  <c r="A90" i="157" s="1"/>
  <c r="A91" i="157" s="1"/>
  <c r="A7" i="157"/>
  <c r="F1" i="157"/>
  <c r="E1" i="157"/>
  <c r="D1" i="157"/>
  <c r="C1" i="157"/>
  <c r="B1" i="157"/>
  <c r="A8" i="156"/>
  <c r="A9" i="156" s="1"/>
  <c r="A10" i="156" s="1"/>
  <c r="A11" i="156" s="1"/>
  <c r="A12" i="156" s="1"/>
  <c r="A13" i="156" s="1"/>
  <c r="A14" i="156" s="1"/>
  <c r="A15" i="156" s="1"/>
  <c r="A16" i="156" s="1"/>
  <c r="A17" i="156" s="1"/>
  <c r="A18" i="156" s="1"/>
  <c r="A19" i="156" s="1"/>
  <c r="A20" i="156" s="1"/>
  <c r="A21" i="156" s="1"/>
  <c r="A22" i="156" s="1"/>
  <c r="A23" i="156" s="1"/>
  <c r="A24" i="156" s="1"/>
  <c r="A25" i="156" s="1"/>
  <c r="A26" i="156" s="1"/>
  <c r="A27" i="156" s="1"/>
  <c r="A28" i="156" s="1"/>
  <c r="A29" i="156" s="1"/>
  <c r="A30" i="156" s="1"/>
  <c r="A31" i="156" s="1"/>
  <c r="A32" i="156" s="1"/>
  <c r="A33" i="156" s="1"/>
  <c r="A34" i="156" s="1"/>
  <c r="A35" i="156" s="1"/>
  <c r="A36" i="156" s="1"/>
  <c r="A37" i="156" s="1"/>
  <c r="A38" i="156" s="1"/>
  <c r="A39" i="156" s="1"/>
  <c r="A40" i="156" s="1"/>
  <c r="A41" i="156" s="1"/>
  <c r="A42" i="156" s="1"/>
  <c r="A43" i="156" s="1"/>
  <c r="A44" i="156" s="1"/>
  <c r="A45" i="156" s="1"/>
  <c r="A46" i="156" s="1"/>
  <c r="A47" i="156" s="1"/>
  <c r="A48" i="156" s="1"/>
  <c r="A49" i="156" s="1"/>
  <c r="A50" i="156" s="1"/>
  <c r="A51" i="156" s="1"/>
  <c r="A52" i="156" s="1"/>
  <c r="A53" i="156" s="1"/>
  <c r="A54" i="156" s="1"/>
  <c r="A55" i="156" s="1"/>
  <c r="A56" i="156" s="1"/>
  <c r="A57" i="156" s="1"/>
  <c r="A58" i="156" s="1"/>
  <c r="A59" i="156" s="1"/>
  <c r="A60" i="156" s="1"/>
  <c r="A61" i="156" s="1"/>
  <c r="A62" i="156" s="1"/>
  <c r="A63" i="156" s="1"/>
  <c r="A64" i="156" s="1"/>
  <c r="A65" i="156" s="1"/>
  <c r="A66" i="156" s="1"/>
  <c r="A67" i="156" s="1"/>
  <c r="A68" i="156" s="1"/>
  <c r="A69" i="156" s="1"/>
  <c r="A70" i="156" s="1"/>
  <c r="A71" i="156" s="1"/>
  <c r="A72" i="156" s="1"/>
  <c r="A73" i="156" s="1"/>
  <c r="A74" i="156" s="1"/>
  <c r="A75" i="156" s="1"/>
  <c r="A76" i="156" s="1"/>
  <c r="A77" i="156" s="1"/>
  <c r="A78" i="156" s="1"/>
  <c r="A79" i="156" s="1"/>
  <c r="A80" i="156" s="1"/>
  <c r="A81" i="156" s="1"/>
  <c r="A82" i="156" s="1"/>
  <c r="A83" i="156" s="1"/>
  <c r="A84" i="156" s="1"/>
  <c r="A85" i="156" s="1"/>
  <c r="A86" i="156" s="1"/>
  <c r="A87" i="156" s="1"/>
  <c r="A88" i="156" s="1"/>
  <c r="A89" i="156" s="1"/>
  <c r="A90" i="156" s="1"/>
  <c r="A91" i="156" s="1"/>
  <c r="A7" i="156"/>
  <c r="F1" i="156"/>
  <c r="E1" i="156"/>
  <c r="D1" i="156"/>
  <c r="C1" i="156"/>
  <c r="B1" i="156"/>
  <c r="A8" i="155"/>
  <c r="A9" i="155" s="1"/>
  <c r="A10" i="155" s="1"/>
  <c r="A11" i="155" s="1"/>
  <c r="A12" i="155" s="1"/>
  <c r="A13" i="155" s="1"/>
  <c r="A14" i="155" s="1"/>
  <c r="A15" i="155" s="1"/>
  <c r="A16" i="155" s="1"/>
  <c r="A17" i="155" s="1"/>
  <c r="A18" i="155" s="1"/>
  <c r="A19" i="155" s="1"/>
  <c r="A20" i="155" s="1"/>
  <c r="A21" i="155" s="1"/>
  <c r="A22" i="155" s="1"/>
  <c r="A23" i="155" s="1"/>
  <c r="A24" i="155" s="1"/>
  <c r="A25" i="155" s="1"/>
  <c r="A26" i="155" s="1"/>
  <c r="A27" i="155" s="1"/>
  <c r="A28" i="155" s="1"/>
  <c r="A29" i="155" s="1"/>
  <c r="A30" i="155" s="1"/>
  <c r="A31" i="155" s="1"/>
  <c r="A32" i="155" s="1"/>
  <c r="A33" i="155" s="1"/>
  <c r="A34" i="155" s="1"/>
  <c r="A35" i="155" s="1"/>
  <c r="A36" i="155" s="1"/>
  <c r="A37" i="155" s="1"/>
  <c r="A38" i="155" s="1"/>
  <c r="A39" i="155" s="1"/>
  <c r="A40" i="155" s="1"/>
  <c r="A41" i="155" s="1"/>
  <c r="A42" i="155" s="1"/>
  <c r="A43" i="155" s="1"/>
  <c r="A44" i="155" s="1"/>
  <c r="A45" i="155" s="1"/>
  <c r="A46" i="155" s="1"/>
  <c r="A47" i="155" s="1"/>
  <c r="A48" i="155" s="1"/>
  <c r="A49" i="155" s="1"/>
  <c r="A50" i="155" s="1"/>
  <c r="A51" i="155" s="1"/>
  <c r="A52" i="155" s="1"/>
  <c r="A53" i="155" s="1"/>
  <c r="A54" i="155" s="1"/>
  <c r="A55" i="155" s="1"/>
  <c r="A56" i="155" s="1"/>
  <c r="A57" i="155" s="1"/>
  <c r="A58" i="155" s="1"/>
  <c r="A59" i="155" s="1"/>
  <c r="A60" i="155" s="1"/>
  <c r="A61" i="155" s="1"/>
  <c r="A62" i="155" s="1"/>
  <c r="A63" i="155" s="1"/>
  <c r="A64" i="155" s="1"/>
  <c r="A65" i="155" s="1"/>
  <c r="A66" i="155" s="1"/>
  <c r="A67" i="155" s="1"/>
  <c r="A68" i="155" s="1"/>
  <c r="A69" i="155" s="1"/>
  <c r="A70" i="155" s="1"/>
  <c r="A71" i="155" s="1"/>
  <c r="A72" i="155" s="1"/>
  <c r="A73" i="155" s="1"/>
  <c r="A74" i="155" s="1"/>
  <c r="A75" i="155" s="1"/>
  <c r="A76" i="155" s="1"/>
  <c r="A77" i="155" s="1"/>
  <c r="A78" i="155" s="1"/>
  <c r="A79" i="155" s="1"/>
  <c r="A80" i="155" s="1"/>
  <c r="A81" i="155" s="1"/>
  <c r="A82" i="155" s="1"/>
  <c r="A83" i="155" s="1"/>
  <c r="A84" i="155" s="1"/>
  <c r="A85" i="155" s="1"/>
  <c r="A86" i="155" s="1"/>
  <c r="A87" i="155" s="1"/>
  <c r="A88" i="155" s="1"/>
  <c r="A89" i="155" s="1"/>
  <c r="A90" i="155" s="1"/>
  <c r="A91" i="155" s="1"/>
  <c r="A7" i="155"/>
  <c r="F1" i="155"/>
  <c r="E1" i="155"/>
  <c r="D1" i="155"/>
  <c r="C1" i="155"/>
  <c r="B1" i="155"/>
  <c r="A8" i="154"/>
  <c r="A9" i="154" s="1"/>
  <c r="A10" i="154" s="1"/>
  <c r="A11" i="154" s="1"/>
  <c r="A12" i="154" s="1"/>
  <c r="A13" i="154" s="1"/>
  <c r="A14" i="154" s="1"/>
  <c r="A15" i="154" s="1"/>
  <c r="A16" i="154" s="1"/>
  <c r="A17" i="154" s="1"/>
  <c r="A18" i="154" s="1"/>
  <c r="A19" i="154" s="1"/>
  <c r="A20" i="154" s="1"/>
  <c r="A21" i="154" s="1"/>
  <c r="A22" i="154" s="1"/>
  <c r="A23" i="154" s="1"/>
  <c r="A24" i="154" s="1"/>
  <c r="A25" i="154" s="1"/>
  <c r="A26" i="154" s="1"/>
  <c r="A27" i="154" s="1"/>
  <c r="A28" i="154" s="1"/>
  <c r="A29" i="154" s="1"/>
  <c r="A30" i="154" s="1"/>
  <c r="A31" i="154" s="1"/>
  <c r="A32" i="154" s="1"/>
  <c r="A33" i="154" s="1"/>
  <c r="A34" i="154" s="1"/>
  <c r="A35" i="154" s="1"/>
  <c r="A36" i="154" s="1"/>
  <c r="A37" i="154" s="1"/>
  <c r="A38" i="154" s="1"/>
  <c r="A39" i="154" s="1"/>
  <c r="A40" i="154" s="1"/>
  <c r="A41" i="154" s="1"/>
  <c r="A42" i="154" s="1"/>
  <c r="A43" i="154" s="1"/>
  <c r="A44" i="154" s="1"/>
  <c r="A45" i="154" s="1"/>
  <c r="A46" i="154" s="1"/>
  <c r="A47" i="154" s="1"/>
  <c r="A48" i="154" s="1"/>
  <c r="A49" i="154" s="1"/>
  <c r="A50" i="154" s="1"/>
  <c r="A51" i="154" s="1"/>
  <c r="A52" i="154" s="1"/>
  <c r="A53" i="154" s="1"/>
  <c r="A54" i="154" s="1"/>
  <c r="A55" i="154" s="1"/>
  <c r="A56" i="154" s="1"/>
  <c r="A57" i="154" s="1"/>
  <c r="A58" i="154" s="1"/>
  <c r="A59" i="154" s="1"/>
  <c r="A60" i="154" s="1"/>
  <c r="A61" i="154" s="1"/>
  <c r="A62" i="154" s="1"/>
  <c r="A63" i="154" s="1"/>
  <c r="A64" i="154" s="1"/>
  <c r="A65" i="154" s="1"/>
  <c r="A66" i="154" s="1"/>
  <c r="A67" i="154" s="1"/>
  <c r="A68" i="154" s="1"/>
  <c r="A69" i="154" s="1"/>
  <c r="A70" i="154" s="1"/>
  <c r="A71" i="154" s="1"/>
  <c r="A72" i="154" s="1"/>
  <c r="A73" i="154" s="1"/>
  <c r="A74" i="154" s="1"/>
  <c r="A75" i="154" s="1"/>
  <c r="A76" i="154" s="1"/>
  <c r="A77" i="154" s="1"/>
  <c r="A78" i="154" s="1"/>
  <c r="A79" i="154" s="1"/>
  <c r="A80" i="154" s="1"/>
  <c r="A81" i="154" s="1"/>
  <c r="A82" i="154" s="1"/>
  <c r="A83" i="154" s="1"/>
  <c r="A84" i="154" s="1"/>
  <c r="A85" i="154" s="1"/>
  <c r="A86" i="154" s="1"/>
  <c r="A87" i="154" s="1"/>
  <c r="A88" i="154" s="1"/>
  <c r="A89" i="154" s="1"/>
  <c r="A90" i="154" s="1"/>
  <c r="A91" i="154" s="1"/>
  <c r="A7" i="154"/>
  <c r="F1" i="154"/>
  <c r="E1" i="154"/>
  <c r="D1" i="154"/>
  <c r="C1" i="154"/>
  <c r="B1" i="154"/>
  <c r="A8" i="153"/>
  <c r="A9" i="153" s="1"/>
  <c r="A10" i="153" s="1"/>
  <c r="A11" i="153" s="1"/>
  <c r="A12" i="153" s="1"/>
  <c r="A13" i="153" s="1"/>
  <c r="A14" i="153" s="1"/>
  <c r="A15" i="153" s="1"/>
  <c r="A16" i="153" s="1"/>
  <c r="A17" i="153" s="1"/>
  <c r="A18" i="153" s="1"/>
  <c r="A19" i="153" s="1"/>
  <c r="A20" i="153" s="1"/>
  <c r="A21" i="153" s="1"/>
  <c r="A22" i="153" s="1"/>
  <c r="A23" i="153" s="1"/>
  <c r="A24" i="153" s="1"/>
  <c r="A25" i="153" s="1"/>
  <c r="A26" i="153" s="1"/>
  <c r="A27" i="153" s="1"/>
  <c r="A28" i="153" s="1"/>
  <c r="A29" i="153" s="1"/>
  <c r="A30" i="153" s="1"/>
  <c r="A31" i="153" s="1"/>
  <c r="A32" i="153" s="1"/>
  <c r="A33" i="153" s="1"/>
  <c r="A34" i="153" s="1"/>
  <c r="A35" i="153" s="1"/>
  <c r="A36" i="153" s="1"/>
  <c r="A37" i="153" s="1"/>
  <c r="A38" i="153" s="1"/>
  <c r="A39" i="153" s="1"/>
  <c r="A40" i="153" s="1"/>
  <c r="A41" i="153" s="1"/>
  <c r="A42" i="153" s="1"/>
  <c r="A43" i="153" s="1"/>
  <c r="A44" i="153" s="1"/>
  <c r="A45" i="153" s="1"/>
  <c r="A46" i="153" s="1"/>
  <c r="A47" i="153" s="1"/>
  <c r="A48" i="153" s="1"/>
  <c r="A49" i="153" s="1"/>
  <c r="A50" i="153" s="1"/>
  <c r="A51" i="153" s="1"/>
  <c r="A52" i="153" s="1"/>
  <c r="A53" i="153" s="1"/>
  <c r="A54" i="153" s="1"/>
  <c r="A55" i="153" s="1"/>
  <c r="A56" i="153" s="1"/>
  <c r="A57" i="153" s="1"/>
  <c r="A58" i="153" s="1"/>
  <c r="A59" i="153" s="1"/>
  <c r="A60" i="153" s="1"/>
  <c r="A61" i="153" s="1"/>
  <c r="A62" i="153" s="1"/>
  <c r="A63" i="153" s="1"/>
  <c r="A64" i="153" s="1"/>
  <c r="A65" i="153" s="1"/>
  <c r="A66" i="153" s="1"/>
  <c r="A67" i="153" s="1"/>
  <c r="A68" i="153" s="1"/>
  <c r="A69" i="153" s="1"/>
  <c r="A70" i="153" s="1"/>
  <c r="A71" i="153" s="1"/>
  <c r="A72" i="153" s="1"/>
  <c r="A73" i="153" s="1"/>
  <c r="A74" i="153" s="1"/>
  <c r="A75" i="153" s="1"/>
  <c r="A76" i="153" s="1"/>
  <c r="A77" i="153" s="1"/>
  <c r="A78" i="153" s="1"/>
  <c r="A79" i="153" s="1"/>
  <c r="A80" i="153" s="1"/>
  <c r="A81" i="153" s="1"/>
  <c r="A82" i="153" s="1"/>
  <c r="A83" i="153" s="1"/>
  <c r="A84" i="153" s="1"/>
  <c r="A85" i="153" s="1"/>
  <c r="A86" i="153" s="1"/>
  <c r="A87" i="153" s="1"/>
  <c r="A88" i="153" s="1"/>
  <c r="A89" i="153" s="1"/>
  <c r="A90" i="153" s="1"/>
  <c r="A91" i="153" s="1"/>
  <c r="A7" i="153"/>
  <c r="F1" i="153"/>
  <c r="E1" i="153"/>
  <c r="D1" i="153"/>
  <c r="C1" i="153"/>
  <c r="B1" i="153"/>
  <c r="A8" i="152"/>
  <c r="A9" i="152" s="1"/>
  <c r="A10" i="152" s="1"/>
  <c r="A11" i="152" s="1"/>
  <c r="A12" i="152" s="1"/>
  <c r="A13" i="152" s="1"/>
  <c r="A14" i="152" s="1"/>
  <c r="A15" i="152" s="1"/>
  <c r="A16" i="152" s="1"/>
  <c r="A17" i="152" s="1"/>
  <c r="A18" i="152" s="1"/>
  <c r="A19" i="152" s="1"/>
  <c r="A20" i="152" s="1"/>
  <c r="A21" i="152" s="1"/>
  <c r="A22" i="152" s="1"/>
  <c r="A23" i="152" s="1"/>
  <c r="A24" i="152" s="1"/>
  <c r="A25" i="152" s="1"/>
  <c r="A26" i="152" s="1"/>
  <c r="A27" i="152" s="1"/>
  <c r="A28" i="152" s="1"/>
  <c r="A29" i="152" s="1"/>
  <c r="A30" i="152" s="1"/>
  <c r="A31" i="152" s="1"/>
  <c r="A32" i="152" s="1"/>
  <c r="A33" i="152" s="1"/>
  <c r="A34" i="152" s="1"/>
  <c r="A35" i="152" s="1"/>
  <c r="A36" i="152" s="1"/>
  <c r="A37" i="152" s="1"/>
  <c r="A38" i="152" s="1"/>
  <c r="A39" i="152" s="1"/>
  <c r="A40" i="152" s="1"/>
  <c r="A41" i="152" s="1"/>
  <c r="A42" i="152" s="1"/>
  <c r="A43" i="152" s="1"/>
  <c r="A44" i="152" s="1"/>
  <c r="A45" i="152" s="1"/>
  <c r="A46" i="152" s="1"/>
  <c r="A47" i="152" s="1"/>
  <c r="A48" i="152" s="1"/>
  <c r="A49" i="152" s="1"/>
  <c r="A50" i="152" s="1"/>
  <c r="A51" i="152" s="1"/>
  <c r="A52" i="152" s="1"/>
  <c r="A53" i="152" s="1"/>
  <c r="A54" i="152" s="1"/>
  <c r="A55" i="152" s="1"/>
  <c r="A56" i="152" s="1"/>
  <c r="A57" i="152" s="1"/>
  <c r="A58" i="152" s="1"/>
  <c r="A59" i="152" s="1"/>
  <c r="A60" i="152" s="1"/>
  <c r="A61" i="152" s="1"/>
  <c r="A62" i="152" s="1"/>
  <c r="A63" i="152" s="1"/>
  <c r="A64" i="152" s="1"/>
  <c r="A65" i="152" s="1"/>
  <c r="A66" i="152" s="1"/>
  <c r="A67" i="152" s="1"/>
  <c r="A68" i="152" s="1"/>
  <c r="A69" i="152" s="1"/>
  <c r="A70" i="152" s="1"/>
  <c r="A71" i="152" s="1"/>
  <c r="A72" i="152" s="1"/>
  <c r="A73" i="152" s="1"/>
  <c r="A74" i="152" s="1"/>
  <c r="A75" i="152" s="1"/>
  <c r="A76" i="152" s="1"/>
  <c r="A77" i="152" s="1"/>
  <c r="A78" i="152" s="1"/>
  <c r="A79" i="152" s="1"/>
  <c r="A80" i="152" s="1"/>
  <c r="A81" i="152" s="1"/>
  <c r="A82" i="152" s="1"/>
  <c r="A83" i="152" s="1"/>
  <c r="A84" i="152" s="1"/>
  <c r="A85" i="152" s="1"/>
  <c r="A86" i="152" s="1"/>
  <c r="A87" i="152" s="1"/>
  <c r="A88" i="152" s="1"/>
  <c r="A89" i="152" s="1"/>
  <c r="A90" i="152" s="1"/>
  <c r="A91" i="152" s="1"/>
  <c r="A7" i="152"/>
  <c r="F1" i="152"/>
  <c r="E1" i="152"/>
  <c r="D1" i="152"/>
  <c r="C1" i="152"/>
  <c r="B1" i="152"/>
  <c r="A8" i="151"/>
  <c r="A9" i="151" s="1"/>
  <c r="A10" i="151" s="1"/>
  <c r="A11" i="151" s="1"/>
  <c r="A12" i="151" s="1"/>
  <c r="A13" i="151" s="1"/>
  <c r="A14" i="151" s="1"/>
  <c r="A15" i="151" s="1"/>
  <c r="A16" i="151" s="1"/>
  <c r="A17" i="151" s="1"/>
  <c r="A18" i="151" s="1"/>
  <c r="A19" i="151" s="1"/>
  <c r="A20" i="151" s="1"/>
  <c r="A21" i="151" s="1"/>
  <c r="A22" i="151" s="1"/>
  <c r="A23" i="151" s="1"/>
  <c r="A24" i="151" s="1"/>
  <c r="A25" i="151" s="1"/>
  <c r="A26" i="151" s="1"/>
  <c r="A27" i="151" s="1"/>
  <c r="A28" i="151" s="1"/>
  <c r="A29" i="151" s="1"/>
  <c r="A30" i="151" s="1"/>
  <c r="A31" i="151" s="1"/>
  <c r="A32" i="151" s="1"/>
  <c r="A33" i="151" s="1"/>
  <c r="A34" i="151" s="1"/>
  <c r="A35" i="151" s="1"/>
  <c r="A36" i="151" s="1"/>
  <c r="A37" i="151" s="1"/>
  <c r="A38" i="151" s="1"/>
  <c r="A39" i="151" s="1"/>
  <c r="A40" i="151" s="1"/>
  <c r="A41" i="151" s="1"/>
  <c r="A42" i="151" s="1"/>
  <c r="A43" i="151" s="1"/>
  <c r="A44" i="151" s="1"/>
  <c r="A45" i="151" s="1"/>
  <c r="A46" i="151" s="1"/>
  <c r="A47" i="151" s="1"/>
  <c r="A48" i="151" s="1"/>
  <c r="A49" i="151" s="1"/>
  <c r="A50" i="151" s="1"/>
  <c r="A51" i="151" s="1"/>
  <c r="A52" i="151" s="1"/>
  <c r="A53" i="151" s="1"/>
  <c r="A54" i="151" s="1"/>
  <c r="A55" i="151" s="1"/>
  <c r="A56" i="151" s="1"/>
  <c r="A57" i="151" s="1"/>
  <c r="A58" i="151" s="1"/>
  <c r="A59" i="151" s="1"/>
  <c r="A60" i="151" s="1"/>
  <c r="A61" i="151" s="1"/>
  <c r="A62" i="151" s="1"/>
  <c r="A63" i="151" s="1"/>
  <c r="A64" i="151" s="1"/>
  <c r="A65" i="151" s="1"/>
  <c r="A66" i="151" s="1"/>
  <c r="A67" i="151" s="1"/>
  <c r="A68" i="151" s="1"/>
  <c r="A69" i="151" s="1"/>
  <c r="A70" i="151" s="1"/>
  <c r="A71" i="151" s="1"/>
  <c r="A72" i="151" s="1"/>
  <c r="A73" i="151" s="1"/>
  <c r="A74" i="151" s="1"/>
  <c r="A75" i="151" s="1"/>
  <c r="A76" i="151" s="1"/>
  <c r="A77" i="151" s="1"/>
  <c r="A78" i="151" s="1"/>
  <c r="A79" i="151" s="1"/>
  <c r="A80" i="151" s="1"/>
  <c r="A81" i="151" s="1"/>
  <c r="A82" i="151" s="1"/>
  <c r="A83" i="151" s="1"/>
  <c r="A84" i="151" s="1"/>
  <c r="A85" i="151" s="1"/>
  <c r="A86" i="151" s="1"/>
  <c r="A87" i="151" s="1"/>
  <c r="A88" i="151" s="1"/>
  <c r="A89" i="151" s="1"/>
  <c r="A90" i="151" s="1"/>
  <c r="A91" i="151" s="1"/>
  <c r="A7" i="151"/>
  <c r="F1" i="151"/>
  <c r="E1" i="151"/>
  <c r="D1" i="151"/>
  <c r="C1" i="151"/>
  <c r="B1" i="151"/>
  <c r="A8" i="150"/>
  <c r="A9" i="150" s="1"/>
  <c r="A10" i="150" s="1"/>
  <c r="A11" i="150" s="1"/>
  <c r="A12" i="150" s="1"/>
  <c r="A13" i="150" s="1"/>
  <c r="A14" i="150" s="1"/>
  <c r="A15" i="150" s="1"/>
  <c r="A16" i="150" s="1"/>
  <c r="A17" i="150" s="1"/>
  <c r="A18" i="150" s="1"/>
  <c r="A19" i="150" s="1"/>
  <c r="A20" i="150" s="1"/>
  <c r="A21" i="150" s="1"/>
  <c r="A22" i="150" s="1"/>
  <c r="A23" i="150" s="1"/>
  <c r="A24" i="150" s="1"/>
  <c r="A25" i="150" s="1"/>
  <c r="A26" i="150" s="1"/>
  <c r="A27" i="150" s="1"/>
  <c r="A28" i="150" s="1"/>
  <c r="A29" i="150" s="1"/>
  <c r="A30" i="150" s="1"/>
  <c r="A31" i="150" s="1"/>
  <c r="A32" i="150" s="1"/>
  <c r="A33" i="150" s="1"/>
  <c r="A34" i="150" s="1"/>
  <c r="A35" i="150" s="1"/>
  <c r="A36" i="150" s="1"/>
  <c r="A37" i="150" s="1"/>
  <c r="A38" i="150" s="1"/>
  <c r="A39" i="150" s="1"/>
  <c r="A40" i="150" s="1"/>
  <c r="A41" i="150" s="1"/>
  <c r="A42" i="150" s="1"/>
  <c r="A43" i="150" s="1"/>
  <c r="A44" i="150" s="1"/>
  <c r="A45" i="150" s="1"/>
  <c r="A46" i="150" s="1"/>
  <c r="A47" i="150" s="1"/>
  <c r="A48" i="150" s="1"/>
  <c r="A49" i="150" s="1"/>
  <c r="A50" i="150" s="1"/>
  <c r="A51" i="150" s="1"/>
  <c r="A52" i="150" s="1"/>
  <c r="A53" i="150" s="1"/>
  <c r="A54" i="150" s="1"/>
  <c r="A55" i="150" s="1"/>
  <c r="A56" i="150" s="1"/>
  <c r="A57" i="150" s="1"/>
  <c r="A58" i="150" s="1"/>
  <c r="A59" i="150" s="1"/>
  <c r="A60" i="150" s="1"/>
  <c r="A61" i="150" s="1"/>
  <c r="A62" i="150" s="1"/>
  <c r="A63" i="150" s="1"/>
  <c r="A64" i="150" s="1"/>
  <c r="A65" i="150" s="1"/>
  <c r="A66" i="150" s="1"/>
  <c r="A67" i="150" s="1"/>
  <c r="A68" i="150" s="1"/>
  <c r="A69" i="150" s="1"/>
  <c r="A70" i="150" s="1"/>
  <c r="A71" i="150" s="1"/>
  <c r="A72" i="150" s="1"/>
  <c r="A73" i="150" s="1"/>
  <c r="A74" i="150" s="1"/>
  <c r="A75" i="150" s="1"/>
  <c r="A76" i="150" s="1"/>
  <c r="A77" i="150" s="1"/>
  <c r="A78" i="150" s="1"/>
  <c r="A79" i="150" s="1"/>
  <c r="A80" i="150" s="1"/>
  <c r="A81" i="150" s="1"/>
  <c r="A82" i="150" s="1"/>
  <c r="A83" i="150" s="1"/>
  <c r="A84" i="150" s="1"/>
  <c r="A85" i="150" s="1"/>
  <c r="A86" i="150" s="1"/>
  <c r="A87" i="150" s="1"/>
  <c r="A88" i="150" s="1"/>
  <c r="A89" i="150" s="1"/>
  <c r="A90" i="150" s="1"/>
  <c r="A91" i="150" s="1"/>
  <c r="A7" i="150"/>
  <c r="F1" i="150"/>
  <c r="E1" i="150"/>
  <c r="D1" i="150"/>
  <c r="C1" i="150"/>
  <c r="B1" i="150"/>
  <c r="A8" i="149"/>
  <c r="A9" i="149" s="1"/>
  <c r="A10" i="149" s="1"/>
  <c r="A11" i="149" s="1"/>
  <c r="A12" i="149" s="1"/>
  <c r="A13" i="149" s="1"/>
  <c r="A14" i="149" s="1"/>
  <c r="A15" i="149" s="1"/>
  <c r="A16" i="149" s="1"/>
  <c r="A17" i="149" s="1"/>
  <c r="A18" i="149" s="1"/>
  <c r="A19" i="149" s="1"/>
  <c r="A20" i="149" s="1"/>
  <c r="A21" i="149" s="1"/>
  <c r="A22" i="149" s="1"/>
  <c r="A23" i="149" s="1"/>
  <c r="A24" i="149" s="1"/>
  <c r="A25" i="149" s="1"/>
  <c r="A26" i="149" s="1"/>
  <c r="A27" i="149" s="1"/>
  <c r="A28" i="149" s="1"/>
  <c r="A29" i="149" s="1"/>
  <c r="A30" i="149" s="1"/>
  <c r="A31" i="149" s="1"/>
  <c r="A32" i="149" s="1"/>
  <c r="A33" i="149" s="1"/>
  <c r="A34" i="149" s="1"/>
  <c r="A35" i="149" s="1"/>
  <c r="A36" i="149" s="1"/>
  <c r="A37" i="149" s="1"/>
  <c r="A38" i="149" s="1"/>
  <c r="A39" i="149" s="1"/>
  <c r="A40" i="149" s="1"/>
  <c r="A41" i="149" s="1"/>
  <c r="A42" i="149" s="1"/>
  <c r="A43" i="149" s="1"/>
  <c r="A44" i="149" s="1"/>
  <c r="A45" i="149" s="1"/>
  <c r="A46" i="149" s="1"/>
  <c r="A47" i="149" s="1"/>
  <c r="A48" i="149" s="1"/>
  <c r="A49" i="149" s="1"/>
  <c r="A50" i="149" s="1"/>
  <c r="A51" i="149" s="1"/>
  <c r="A52" i="149" s="1"/>
  <c r="A53" i="149" s="1"/>
  <c r="A54" i="149" s="1"/>
  <c r="A55" i="149" s="1"/>
  <c r="A56" i="149" s="1"/>
  <c r="A57" i="149" s="1"/>
  <c r="A58" i="149" s="1"/>
  <c r="A59" i="149" s="1"/>
  <c r="A60" i="149" s="1"/>
  <c r="A61" i="149" s="1"/>
  <c r="A62" i="149" s="1"/>
  <c r="A63" i="149" s="1"/>
  <c r="A64" i="149" s="1"/>
  <c r="A65" i="149" s="1"/>
  <c r="A66" i="149" s="1"/>
  <c r="A67" i="149" s="1"/>
  <c r="A68" i="149" s="1"/>
  <c r="A69" i="149" s="1"/>
  <c r="A70" i="149" s="1"/>
  <c r="A71" i="149" s="1"/>
  <c r="A72" i="149" s="1"/>
  <c r="A73" i="149" s="1"/>
  <c r="A74" i="149" s="1"/>
  <c r="A75" i="149" s="1"/>
  <c r="A76" i="149" s="1"/>
  <c r="A77" i="149" s="1"/>
  <c r="A78" i="149" s="1"/>
  <c r="A79" i="149" s="1"/>
  <c r="A80" i="149" s="1"/>
  <c r="A81" i="149" s="1"/>
  <c r="A82" i="149" s="1"/>
  <c r="A83" i="149" s="1"/>
  <c r="A84" i="149" s="1"/>
  <c r="A85" i="149" s="1"/>
  <c r="A86" i="149" s="1"/>
  <c r="A87" i="149" s="1"/>
  <c r="A88" i="149" s="1"/>
  <c r="A89" i="149" s="1"/>
  <c r="A90" i="149" s="1"/>
  <c r="A91" i="149" s="1"/>
  <c r="A7" i="149"/>
  <c r="F1" i="149"/>
  <c r="E1" i="149"/>
  <c r="D1" i="149"/>
  <c r="C1" i="149"/>
  <c r="B1" i="149"/>
  <c r="A8" i="148"/>
  <c r="A9" i="148" s="1"/>
  <c r="A10" i="148" s="1"/>
  <c r="A11" i="148" s="1"/>
  <c r="A12" i="148" s="1"/>
  <c r="A13" i="148" s="1"/>
  <c r="A14" i="148" s="1"/>
  <c r="A15" i="148" s="1"/>
  <c r="A16" i="148" s="1"/>
  <c r="A17" i="148" s="1"/>
  <c r="A18" i="148" s="1"/>
  <c r="A19" i="148" s="1"/>
  <c r="A20" i="148" s="1"/>
  <c r="A21" i="148" s="1"/>
  <c r="A22" i="148" s="1"/>
  <c r="A23" i="148" s="1"/>
  <c r="A24" i="148" s="1"/>
  <c r="A25" i="148" s="1"/>
  <c r="A26" i="148" s="1"/>
  <c r="A27" i="148" s="1"/>
  <c r="A28" i="148" s="1"/>
  <c r="A29" i="148" s="1"/>
  <c r="A30" i="148" s="1"/>
  <c r="A31" i="148" s="1"/>
  <c r="A32" i="148" s="1"/>
  <c r="A33" i="148" s="1"/>
  <c r="A34" i="148" s="1"/>
  <c r="A35" i="148" s="1"/>
  <c r="A36" i="148" s="1"/>
  <c r="A37" i="148" s="1"/>
  <c r="A38" i="148" s="1"/>
  <c r="A39" i="148" s="1"/>
  <c r="A40" i="148" s="1"/>
  <c r="A41" i="148" s="1"/>
  <c r="A42" i="148" s="1"/>
  <c r="A43" i="148" s="1"/>
  <c r="A44" i="148" s="1"/>
  <c r="A45" i="148" s="1"/>
  <c r="A46" i="148" s="1"/>
  <c r="A47" i="148" s="1"/>
  <c r="A48" i="148" s="1"/>
  <c r="A49" i="148" s="1"/>
  <c r="A50" i="148" s="1"/>
  <c r="A51" i="148" s="1"/>
  <c r="A52" i="148" s="1"/>
  <c r="A53" i="148" s="1"/>
  <c r="A54" i="148" s="1"/>
  <c r="A55" i="148" s="1"/>
  <c r="A56" i="148" s="1"/>
  <c r="A57" i="148" s="1"/>
  <c r="A58" i="148" s="1"/>
  <c r="A59" i="148" s="1"/>
  <c r="A60" i="148" s="1"/>
  <c r="A61" i="148" s="1"/>
  <c r="A62" i="148" s="1"/>
  <c r="A63" i="148" s="1"/>
  <c r="A64" i="148" s="1"/>
  <c r="A65" i="148" s="1"/>
  <c r="A66" i="148" s="1"/>
  <c r="A67" i="148" s="1"/>
  <c r="A68" i="148" s="1"/>
  <c r="A69" i="148" s="1"/>
  <c r="A70" i="148" s="1"/>
  <c r="A71" i="148" s="1"/>
  <c r="A72" i="148" s="1"/>
  <c r="A73" i="148" s="1"/>
  <c r="A74" i="148" s="1"/>
  <c r="A75" i="148" s="1"/>
  <c r="A76" i="148" s="1"/>
  <c r="A77" i="148" s="1"/>
  <c r="A78" i="148" s="1"/>
  <c r="A79" i="148" s="1"/>
  <c r="A80" i="148" s="1"/>
  <c r="A81" i="148" s="1"/>
  <c r="A82" i="148" s="1"/>
  <c r="A83" i="148" s="1"/>
  <c r="A84" i="148" s="1"/>
  <c r="A85" i="148" s="1"/>
  <c r="A86" i="148" s="1"/>
  <c r="A87" i="148" s="1"/>
  <c r="A88" i="148" s="1"/>
  <c r="A89" i="148" s="1"/>
  <c r="A90" i="148" s="1"/>
  <c r="A91" i="148" s="1"/>
  <c r="A7" i="148"/>
  <c r="F1" i="148"/>
  <c r="E1" i="148"/>
  <c r="D1" i="148"/>
  <c r="C1" i="148"/>
  <c r="B1" i="148"/>
  <c r="A8" i="147"/>
  <c r="A9" i="147" s="1"/>
  <c r="A10" i="147" s="1"/>
  <c r="A11" i="147" s="1"/>
  <c r="A12" i="147" s="1"/>
  <c r="A13" i="147" s="1"/>
  <c r="A14" i="147" s="1"/>
  <c r="A15" i="147" s="1"/>
  <c r="A16" i="147" s="1"/>
  <c r="A17" i="147" s="1"/>
  <c r="A18" i="147" s="1"/>
  <c r="A19" i="147" s="1"/>
  <c r="A20" i="147" s="1"/>
  <c r="A21" i="147" s="1"/>
  <c r="A22" i="147" s="1"/>
  <c r="A23" i="147" s="1"/>
  <c r="A24" i="147" s="1"/>
  <c r="A25" i="147" s="1"/>
  <c r="A26" i="147" s="1"/>
  <c r="A27" i="147" s="1"/>
  <c r="A28" i="147" s="1"/>
  <c r="A29" i="147" s="1"/>
  <c r="A30" i="147" s="1"/>
  <c r="A31" i="147" s="1"/>
  <c r="A32" i="147" s="1"/>
  <c r="A33" i="147" s="1"/>
  <c r="A34" i="147" s="1"/>
  <c r="A35" i="147" s="1"/>
  <c r="A36" i="147" s="1"/>
  <c r="A37" i="147" s="1"/>
  <c r="A38" i="147" s="1"/>
  <c r="A39" i="147" s="1"/>
  <c r="A40" i="147" s="1"/>
  <c r="A41" i="147" s="1"/>
  <c r="A42" i="147" s="1"/>
  <c r="A43" i="147" s="1"/>
  <c r="A44" i="147" s="1"/>
  <c r="A45" i="147" s="1"/>
  <c r="A46" i="147" s="1"/>
  <c r="A47" i="147" s="1"/>
  <c r="A48" i="147" s="1"/>
  <c r="A49" i="147" s="1"/>
  <c r="A50" i="147" s="1"/>
  <c r="A51" i="147" s="1"/>
  <c r="A52" i="147" s="1"/>
  <c r="A53" i="147" s="1"/>
  <c r="A54" i="147" s="1"/>
  <c r="A55" i="147" s="1"/>
  <c r="A56" i="147" s="1"/>
  <c r="A57" i="147" s="1"/>
  <c r="A58" i="147" s="1"/>
  <c r="A59" i="147" s="1"/>
  <c r="A60" i="147" s="1"/>
  <c r="A61" i="147" s="1"/>
  <c r="A62" i="147" s="1"/>
  <c r="A63" i="147" s="1"/>
  <c r="A64" i="147" s="1"/>
  <c r="A65" i="147" s="1"/>
  <c r="A66" i="147" s="1"/>
  <c r="A67" i="147" s="1"/>
  <c r="A68" i="147" s="1"/>
  <c r="A69" i="147" s="1"/>
  <c r="A70" i="147" s="1"/>
  <c r="A71" i="147" s="1"/>
  <c r="A72" i="147" s="1"/>
  <c r="A73" i="147" s="1"/>
  <c r="A74" i="147" s="1"/>
  <c r="A75" i="147" s="1"/>
  <c r="A76" i="147" s="1"/>
  <c r="A77" i="147" s="1"/>
  <c r="A78" i="147" s="1"/>
  <c r="A79" i="147" s="1"/>
  <c r="A80" i="147" s="1"/>
  <c r="A81" i="147" s="1"/>
  <c r="A82" i="147" s="1"/>
  <c r="A83" i="147" s="1"/>
  <c r="A84" i="147" s="1"/>
  <c r="A85" i="147" s="1"/>
  <c r="A86" i="147" s="1"/>
  <c r="A87" i="147" s="1"/>
  <c r="A88" i="147" s="1"/>
  <c r="A89" i="147" s="1"/>
  <c r="A90" i="147" s="1"/>
  <c r="A91" i="147" s="1"/>
  <c r="A7" i="147"/>
  <c r="F1" i="147"/>
  <c r="E1" i="147"/>
  <c r="D1" i="147"/>
  <c r="C1" i="147"/>
  <c r="B1" i="147"/>
  <c r="A8" i="146"/>
  <c r="A9" i="146" s="1"/>
  <c r="A10" i="146" s="1"/>
  <c r="A11" i="146" s="1"/>
  <c r="A12" i="146" s="1"/>
  <c r="A13" i="146" s="1"/>
  <c r="A14" i="146" s="1"/>
  <c r="A15" i="146" s="1"/>
  <c r="A16" i="146" s="1"/>
  <c r="A17" i="146" s="1"/>
  <c r="A18" i="146" s="1"/>
  <c r="A19" i="146" s="1"/>
  <c r="A20" i="146" s="1"/>
  <c r="A21" i="146" s="1"/>
  <c r="A22" i="146" s="1"/>
  <c r="A23" i="146" s="1"/>
  <c r="A24" i="146" s="1"/>
  <c r="A25" i="146" s="1"/>
  <c r="A26" i="146" s="1"/>
  <c r="A27" i="146" s="1"/>
  <c r="A28" i="146" s="1"/>
  <c r="A29" i="146" s="1"/>
  <c r="A30" i="146" s="1"/>
  <c r="A31" i="146" s="1"/>
  <c r="A32" i="146" s="1"/>
  <c r="A33" i="146" s="1"/>
  <c r="A34" i="146" s="1"/>
  <c r="A35" i="146" s="1"/>
  <c r="A36" i="146" s="1"/>
  <c r="A37" i="146" s="1"/>
  <c r="A38" i="146" s="1"/>
  <c r="A39" i="146" s="1"/>
  <c r="A40" i="146" s="1"/>
  <c r="A41" i="146" s="1"/>
  <c r="A42" i="146" s="1"/>
  <c r="A43" i="146" s="1"/>
  <c r="A44" i="146" s="1"/>
  <c r="A45" i="146" s="1"/>
  <c r="A46" i="146" s="1"/>
  <c r="A47" i="146" s="1"/>
  <c r="A48" i="146" s="1"/>
  <c r="A49" i="146" s="1"/>
  <c r="A50" i="146" s="1"/>
  <c r="A51" i="146" s="1"/>
  <c r="A52" i="146" s="1"/>
  <c r="A53" i="146" s="1"/>
  <c r="A54" i="146" s="1"/>
  <c r="A55" i="146" s="1"/>
  <c r="A56" i="146" s="1"/>
  <c r="A57" i="146" s="1"/>
  <c r="A58" i="146" s="1"/>
  <c r="A59" i="146" s="1"/>
  <c r="A60" i="146" s="1"/>
  <c r="A61" i="146" s="1"/>
  <c r="A62" i="146" s="1"/>
  <c r="A63" i="146" s="1"/>
  <c r="A64" i="146" s="1"/>
  <c r="A65" i="146" s="1"/>
  <c r="A66" i="146" s="1"/>
  <c r="A67" i="146" s="1"/>
  <c r="A68" i="146" s="1"/>
  <c r="A69" i="146" s="1"/>
  <c r="A70" i="146" s="1"/>
  <c r="A71" i="146" s="1"/>
  <c r="A72" i="146" s="1"/>
  <c r="A73" i="146" s="1"/>
  <c r="A74" i="146" s="1"/>
  <c r="A75" i="146" s="1"/>
  <c r="A76" i="146" s="1"/>
  <c r="A77" i="146" s="1"/>
  <c r="A78" i="146" s="1"/>
  <c r="A79" i="146" s="1"/>
  <c r="A80" i="146" s="1"/>
  <c r="A81" i="146" s="1"/>
  <c r="A82" i="146" s="1"/>
  <c r="A83" i="146" s="1"/>
  <c r="A84" i="146" s="1"/>
  <c r="A85" i="146" s="1"/>
  <c r="A86" i="146" s="1"/>
  <c r="A87" i="146" s="1"/>
  <c r="A88" i="146" s="1"/>
  <c r="A89" i="146" s="1"/>
  <c r="A90" i="146" s="1"/>
  <c r="A91" i="146" s="1"/>
  <c r="A7" i="146"/>
  <c r="F1" i="146"/>
  <c r="E1" i="146"/>
  <c r="D1" i="146"/>
  <c r="C1" i="146"/>
  <c r="B1" i="146"/>
  <c r="A8" i="145"/>
  <c r="A9" i="145" s="1"/>
  <c r="A10" i="145" s="1"/>
  <c r="A11" i="145" s="1"/>
  <c r="A12" i="145" s="1"/>
  <c r="A13" i="145" s="1"/>
  <c r="A14" i="145" s="1"/>
  <c r="A15" i="145" s="1"/>
  <c r="A16" i="145" s="1"/>
  <c r="A17" i="145" s="1"/>
  <c r="A18" i="145" s="1"/>
  <c r="A19" i="145" s="1"/>
  <c r="A20" i="145" s="1"/>
  <c r="A21" i="145" s="1"/>
  <c r="A22" i="145" s="1"/>
  <c r="A23" i="145" s="1"/>
  <c r="A24" i="145" s="1"/>
  <c r="A25" i="145" s="1"/>
  <c r="A26" i="145" s="1"/>
  <c r="A27" i="145" s="1"/>
  <c r="A28" i="145" s="1"/>
  <c r="A29" i="145" s="1"/>
  <c r="A30" i="145" s="1"/>
  <c r="A31" i="145" s="1"/>
  <c r="A32" i="145" s="1"/>
  <c r="A33" i="145" s="1"/>
  <c r="A34" i="145" s="1"/>
  <c r="A35" i="145" s="1"/>
  <c r="A36" i="145" s="1"/>
  <c r="A37" i="145" s="1"/>
  <c r="A38" i="145" s="1"/>
  <c r="A39" i="145" s="1"/>
  <c r="A40" i="145" s="1"/>
  <c r="A41" i="145" s="1"/>
  <c r="A42" i="145" s="1"/>
  <c r="A43" i="145" s="1"/>
  <c r="A44" i="145" s="1"/>
  <c r="A45" i="145" s="1"/>
  <c r="A46" i="145" s="1"/>
  <c r="A47" i="145" s="1"/>
  <c r="A48" i="145" s="1"/>
  <c r="A49" i="145" s="1"/>
  <c r="A50" i="145" s="1"/>
  <c r="A51" i="145" s="1"/>
  <c r="A52" i="145" s="1"/>
  <c r="A53" i="145" s="1"/>
  <c r="A54" i="145" s="1"/>
  <c r="A55" i="145" s="1"/>
  <c r="A56" i="145" s="1"/>
  <c r="A57" i="145" s="1"/>
  <c r="A58" i="145" s="1"/>
  <c r="A59" i="145" s="1"/>
  <c r="A60" i="145" s="1"/>
  <c r="A61" i="145" s="1"/>
  <c r="A62" i="145" s="1"/>
  <c r="A63" i="145" s="1"/>
  <c r="A64" i="145" s="1"/>
  <c r="A65" i="145" s="1"/>
  <c r="A66" i="145" s="1"/>
  <c r="A67" i="145" s="1"/>
  <c r="A68" i="145" s="1"/>
  <c r="A69" i="145" s="1"/>
  <c r="A70" i="145" s="1"/>
  <c r="A71" i="145" s="1"/>
  <c r="A72" i="145" s="1"/>
  <c r="A73" i="145" s="1"/>
  <c r="A74" i="145" s="1"/>
  <c r="A75" i="145" s="1"/>
  <c r="A76" i="145" s="1"/>
  <c r="A77" i="145" s="1"/>
  <c r="A78" i="145" s="1"/>
  <c r="A79" i="145" s="1"/>
  <c r="A80" i="145" s="1"/>
  <c r="A81" i="145" s="1"/>
  <c r="A82" i="145" s="1"/>
  <c r="A83" i="145" s="1"/>
  <c r="A84" i="145" s="1"/>
  <c r="A85" i="145" s="1"/>
  <c r="A86" i="145" s="1"/>
  <c r="A87" i="145" s="1"/>
  <c r="A88" i="145" s="1"/>
  <c r="A89" i="145" s="1"/>
  <c r="A90" i="145" s="1"/>
  <c r="A91" i="145" s="1"/>
  <c r="A7" i="145"/>
  <c r="F1" i="145"/>
  <c r="E1" i="145"/>
  <c r="D1" i="145"/>
  <c r="C1" i="145"/>
  <c r="B1" i="145"/>
  <c r="A8" i="144"/>
  <c r="A9" i="144" s="1"/>
  <c r="A10" i="144" s="1"/>
  <c r="A11" i="144" s="1"/>
  <c r="A12" i="144" s="1"/>
  <c r="A13" i="144" s="1"/>
  <c r="A14" i="144" s="1"/>
  <c r="A15" i="144" s="1"/>
  <c r="A16" i="144" s="1"/>
  <c r="A17" i="144" s="1"/>
  <c r="A18" i="144" s="1"/>
  <c r="A19" i="144" s="1"/>
  <c r="A20" i="144" s="1"/>
  <c r="A21" i="144" s="1"/>
  <c r="A22" i="144" s="1"/>
  <c r="A23" i="144" s="1"/>
  <c r="A24" i="144" s="1"/>
  <c r="A25" i="144" s="1"/>
  <c r="A26" i="144" s="1"/>
  <c r="A27" i="144" s="1"/>
  <c r="A28" i="144" s="1"/>
  <c r="A29" i="144" s="1"/>
  <c r="A30" i="144" s="1"/>
  <c r="A31" i="144" s="1"/>
  <c r="A32" i="144" s="1"/>
  <c r="A33" i="144" s="1"/>
  <c r="A34" i="144" s="1"/>
  <c r="A35" i="144" s="1"/>
  <c r="A36" i="144" s="1"/>
  <c r="A37" i="144" s="1"/>
  <c r="A38" i="144" s="1"/>
  <c r="A39" i="144" s="1"/>
  <c r="A40" i="144" s="1"/>
  <c r="A41" i="144" s="1"/>
  <c r="A42" i="144" s="1"/>
  <c r="A43" i="144" s="1"/>
  <c r="A44" i="144" s="1"/>
  <c r="A45" i="144" s="1"/>
  <c r="A46" i="144" s="1"/>
  <c r="A47" i="144" s="1"/>
  <c r="A48" i="144" s="1"/>
  <c r="A49" i="144" s="1"/>
  <c r="A50" i="144" s="1"/>
  <c r="A51" i="144" s="1"/>
  <c r="A52" i="144" s="1"/>
  <c r="A53" i="144" s="1"/>
  <c r="A54" i="144" s="1"/>
  <c r="A55" i="144" s="1"/>
  <c r="A56" i="144" s="1"/>
  <c r="A57" i="144" s="1"/>
  <c r="A58" i="144" s="1"/>
  <c r="A59" i="144" s="1"/>
  <c r="A60" i="144" s="1"/>
  <c r="A61" i="144" s="1"/>
  <c r="A62" i="144" s="1"/>
  <c r="A63" i="144" s="1"/>
  <c r="A64" i="144" s="1"/>
  <c r="A65" i="144" s="1"/>
  <c r="A66" i="144" s="1"/>
  <c r="A67" i="144" s="1"/>
  <c r="A68" i="144" s="1"/>
  <c r="A69" i="144" s="1"/>
  <c r="A70" i="144" s="1"/>
  <c r="A71" i="144" s="1"/>
  <c r="A72" i="144" s="1"/>
  <c r="A73" i="144" s="1"/>
  <c r="A74" i="144" s="1"/>
  <c r="A75" i="144" s="1"/>
  <c r="A76" i="144" s="1"/>
  <c r="A77" i="144" s="1"/>
  <c r="A78" i="144" s="1"/>
  <c r="A79" i="144" s="1"/>
  <c r="A80" i="144" s="1"/>
  <c r="A81" i="144" s="1"/>
  <c r="A82" i="144" s="1"/>
  <c r="A83" i="144" s="1"/>
  <c r="A84" i="144" s="1"/>
  <c r="A85" i="144" s="1"/>
  <c r="A86" i="144" s="1"/>
  <c r="A87" i="144" s="1"/>
  <c r="A88" i="144" s="1"/>
  <c r="A89" i="144" s="1"/>
  <c r="A90" i="144" s="1"/>
  <c r="A91" i="144" s="1"/>
  <c r="A7" i="144"/>
  <c r="F1" i="144"/>
  <c r="E1" i="144"/>
  <c r="D1" i="144"/>
  <c r="C1" i="144"/>
  <c r="B1" i="144"/>
  <c r="A8" i="143"/>
  <c r="A9" i="143" s="1"/>
  <c r="A10" i="143" s="1"/>
  <c r="A11" i="143" s="1"/>
  <c r="A12" i="143" s="1"/>
  <c r="A13" i="143" s="1"/>
  <c r="A14" i="143" s="1"/>
  <c r="A15" i="143" s="1"/>
  <c r="A16" i="143" s="1"/>
  <c r="A17" i="143" s="1"/>
  <c r="A18" i="143" s="1"/>
  <c r="A19" i="143" s="1"/>
  <c r="A20" i="143" s="1"/>
  <c r="A21" i="143" s="1"/>
  <c r="A22" i="143" s="1"/>
  <c r="A23" i="143" s="1"/>
  <c r="A24" i="143" s="1"/>
  <c r="A25" i="143" s="1"/>
  <c r="A26" i="143" s="1"/>
  <c r="A27" i="143" s="1"/>
  <c r="A28" i="143" s="1"/>
  <c r="A29" i="143" s="1"/>
  <c r="A30" i="143" s="1"/>
  <c r="A31" i="143" s="1"/>
  <c r="A32" i="143" s="1"/>
  <c r="A33" i="143" s="1"/>
  <c r="A34" i="143" s="1"/>
  <c r="A35" i="143" s="1"/>
  <c r="A36" i="143" s="1"/>
  <c r="A37" i="143" s="1"/>
  <c r="A38" i="143" s="1"/>
  <c r="A39" i="143" s="1"/>
  <c r="A40" i="143" s="1"/>
  <c r="A41" i="143" s="1"/>
  <c r="A42" i="143" s="1"/>
  <c r="A43" i="143" s="1"/>
  <c r="A44" i="143" s="1"/>
  <c r="A45" i="143" s="1"/>
  <c r="A46" i="143" s="1"/>
  <c r="A47" i="143" s="1"/>
  <c r="A48" i="143" s="1"/>
  <c r="A49" i="143" s="1"/>
  <c r="A50" i="143" s="1"/>
  <c r="A51" i="143" s="1"/>
  <c r="A52" i="143" s="1"/>
  <c r="A53" i="143" s="1"/>
  <c r="A54" i="143" s="1"/>
  <c r="A55" i="143" s="1"/>
  <c r="A56" i="143" s="1"/>
  <c r="A57" i="143" s="1"/>
  <c r="A58" i="143" s="1"/>
  <c r="A59" i="143" s="1"/>
  <c r="A60" i="143" s="1"/>
  <c r="A61" i="143" s="1"/>
  <c r="A62" i="143" s="1"/>
  <c r="A63" i="143" s="1"/>
  <c r="A64" i="143" s="1"/>
  <c r="A65" i="143" s="1"/>
  <c r="A66" i="143" s="1"/>
  <c r="A67" i="143" s="1"/>
  <c r="A68" i="143" s="1"/>
  <c r="A69" i="143" s="1"/>
  <c r="A70" i="143" s="1"/>
  <c r="A71" i="143" s="1"/>
  <c r="A72" i="143" s="1"/>
  <c r="A73" i="143" s="1"/>
  <c r="A74" i="143" s="1"/>
  <c r="A75" i="143" s="1"/>
  <c r="A76" i="143" s="1"/>
  <c r="A77" i="143" s="1"/>
  <c r="A78" i="143" s="1"/>
  <c r="A79" i="143" s="1"/>
  <c r="A80" i="143" s="1"/>
  <c r="A81" i="143" s="1"/>
  <c r="A82" i="143" s="1"/>
  <c r="A83" i="143" s="1"/>
  <c r="A84" i="143" s="1"/>
  <c r="A85" i="143" s="1"/>
  <c r="A86" i="143" s="1"/>
  <c r="A87" i="143" s="1"/>
  <c r="A88" i="143" s="1"/>
  <c r="A89" i="143" s="1"/>
  <c r="A90" i="143" s="1"/>
  <c r="A91" i="143" s="1"/>
  <c r="A7" i="143"/>
  <c r="F1" i="143"/>
  <c r="E1" i="143"/>
  <c r="D1" i="143"/>
  <c r="C1" i="143"/>
  <c r="B1" i="143"/>
  <c r="A8" i="142"/>
  <c r="A9" i="142" s="1"/>
  <c r="A10" i="142" s="1"/>
  <c r="A11" i="142" s="1"/>
  <c r="A12" i="142" s="1"/>
  <c r="A13" i="142" s="1"/>
  <c r="A14" i="142" s="1"/>
  <c r="A15" i="142" s="1"/>
  <c r="A16" i="142" s="1"/>
  <c r="A17" i="142" s="1"/>
  <c r="A18" i="142" s="1"/>
  <c r="A19" i="142" s="1"/>
  <c r="A20" i="142" s="1"/>
  <c r="A21" i="142" s="1"/>
  <c r="A22" i="142" s="1"/>
  <c r="A23" i="142" s="1"/>
  <c r="A24" i="142" s="1"/>
  <c r="A25" i="142" s="1"/>
  <c r="A26" i="142" s="1"/>
  <c r="A27" i="142" s="1"/>
  <c r="A28" i="142" s="1"/>
  <c r="A29" i="142" s="1"/>
  <c r="A30" i="142" s="1"/>
  <c r="A31" i="142" s="1"/>
  <c r="A32" i="142" s="1"/>
  <c r="A33" i="142" s="1"/>
  <c r="A34" i="142" s="1"/>
  <c r="A35" i="142" s="1"/>
  <c r="A36" i="142" s="1"/>
  <c r="A37" i="142" s="1"/>
  <c r="A38" i="142" s="1"/>
  <c r="A39" i="142" s="1"/>
  <c r="A40" i="142" s="1"/>
  <c r="A41" i="142" s="1"/>
  <c r="A42" i="142" s="1"/>
  <c r="A43" i="142" s="1"/>
  <c r="A44" i="142" s="1"/>
  <c r="A45" i="142" s="1"/>
  <c r="A46" i="142" s="1"/>
  <c r="A47" i="142" s="1"/>
  <c r="A48" i="142" s="1"/>
  <c r="A49" i="142" s="1"/>
  <c r="A50" i="142" s="1"/>
  <c r="A51" i="142" s="1"/>
  <c r="A52" i="142" s="1"/>
  <c r="A53" i="142" s="1"/>
  <c r="A54" i="142" s="1"/>
  <c r="A55" i="142" s="1"/>
  <c r="A56" i="142" s="1"/>
  <c r="A57" i="142" s="1"/>
  <c r="A58" i="142" s="1"/>
  <c r="A59" i="142" s="1"/>
  <c r="A60" i="142" s="1"/>
  <c r="A61" i="142" s="1"/>
  <c r="A62" i="142" s="1"/>
  <c r="A63" i="142" s="1"/>
  <c r="A64" i="142" s="1"/>
  <c r="A65" i="142" s="1"/>
  <c r="A66" i="142" s="1"/>
  <c r="A67" i="142" s="1"/>
  <c r="A68" i="142" s="1"/>
  <c r="A69" i="142" s="1"/>
  <c r="A70" i="142" s="1"/>
  <c r="A71" i="142" s="1"/>
  <c r="A72" i="142" s="1"/>
  <c r="A73" i="142" s="1"/>
  <c r="A74" i="142" s="1"/>
  <c r="A75" i="142" s="1"/>
  <c r="A76" i="142" s="1"/>
  <c r="A77" i="142" s="1"/>
  <c r="A78" i="142" s="1"/>
  <c r="A79" i="142" s="1"/>
  <c r="A80" i="142" s="1"/>
  <c r="A81" i="142" s="1"/>
  <c r="A82" i="142" s="1"/>
  <c r="A83" i="142" s="1"/>
  <c r="A84" i="142" s="1"/>
  <c r="A85" i="142" s="1"/>
  <c r="A86" i="142" s="1"/>
  <c r="A87" i="142" s="1"/>
  <c r="A88" i="142" s="1"/>
  <c r="A89" i="142" s="1"/>
  <c r="A90" i="142" s="1"/>
  <c r="A91" i="142" s="1"/>
  <c r="A7" i="142"/>
  <c r="F1" i="142"/>
  <c r="E1" i="142"/>
  <c r="D1" i="142"/>
  <c r="C1" i="142"/>
  <c r="B1" i="142"/>
  <c r="A8" i="141"/>
  <c r="A9" i="141" s="1"/>
  <c r="A10" i="141" s="1"/>
  <c r="A11" i="141" s="1"/>
  <c r="A12" i="141" s="1"/>
  <c r="A13" i="141" s="1"/>
  <c r="A14" i="141" s="1"/>
  <c r="A15" i="141" s="1"/>
  <c r="A16" i="141" s="1"/>
  <c r="A17" i="141" s="1"/>
  <c r="A18" i="141" s="1"/>
  <c r="A19" i="141" s="1"/>
  <c r="A20" i="141" s="1"/>
  <c r="A21" i="141" s="1"/>
  <c r="A22" i="141" s="1"/>
  <c r="A23" i="141" s="1"/>
  <c r="A24" i="141" s="1"/>
  <c r="A25" i="141" s="1"/>
  <c r="A26" i="141" s="1"/>
  <c r="A27" i="141" s="1"/>
  <c r="A28" i="141" s="1"/>
  <c r="A29" i="141" s="1"/>
  <c r="A30" i="141" s="1"/>
  <c r="A31" i="141" s="1"/>
  <c r="A32" i="141" s="1"/>
  <c r="A33" i="141" s="1"/>
  <c r="A34" i="141" s="1"/>
  <c r="A35" i="141" s="1"/>
  <c r="A36" i="141" s="1"/>
  <c r="A37" i="141" s="1"/>
  <c r="A38" i="141" s="1"/>
  <c r="A39" i="141" s="1"/>
  <c r="A40" i="141" s="1"/>
  <c r="A41" i="141" s="1"/>
  <c r="A42" i="141" s="1"/>
  <c r="A43" i="141" s="1"/>
  <c r="A44" i="141" s="1"/>
  <c r="A45" i="141" s="1"/>
  <c r="A46" i="141" s="1"/>
  <c r="A47" i="141" s="1"/>
  <c r="A48" i="141" s="1"/>
  <c r="A49" i="141" s="1"/>
  <c r="A50" i="141" s="1"/>
  <c r="A51" i="141" s="1"/>
  <c r="A52" i="141" s="1"/>
  <c r="A53" i="141" s="1"/>
  <c r="A54" i="141" s="1"/>
  <c r="A55" i="141" s="1"/>
  <c r="A56" i="141" s="1"/>
  <c r="A57" i="141" s="1"/>
  <c r="A58" i="141" s="1"/>
  <c r="A59" i="141" s="1"/>
  <c r="A60" i="141" s="1"/>
  <c r="A61" i="141" s="1"/>
  <c r="A62" i="141" s="1"/>
  <c r="A63" i="141" s="1"/>
  <c r="A64" i="141" s="1"/>
  <c r="A65" i="141" s="1"/>
  <c r="A66" i="141" s="1"/>
  <c r="A67" i="141" s="1"/>
  <c r="A68" i="141" s="1"/>
  <c r="A69" i="141" s="1"/>
  <c r="A70" i="141" s="1"/>
  <c r="A71" i="141" s="1"/>
  <c r="A72" i="141" s="1"/>
  <c r="A73" i="141" s="1"/>
  <c r="A74" i="141" s="1"/>
  <c r="A75" i="141" s="1"/>
  <c r="A76" i="141" s="1"/>
  <c r="A77" i="141" s="1"/>
  <c r="A78" i="141" s="1"/>
  <c r="A79" i="141" s="1"/>
  <c r="A80" i="141" s="1"/>
  <c r="A81" i="141" s="1"/>
  <c r="A82" i="141" s="1"/>
  <c r="A83" i="141" s="1"/>
  <c r="A84" i="141" s="1"/>
  <c r="A85" i="141" s="1"/>
  <c r="A86" i="141" s="1"/>
  <c r="A87" i="141" s="1"/>
  <c r="A88" i="141" s="1"/>
  <c r="A89" i="141" s="1"/>
  <c r="A90" i="141" s="1"/>
  <c r="A91" i="141" s="1"/>
  <c r="A7" i="141"/>
  <c r="F1" i="141"/>
  <c r="E1" i="141"/>
  <c r="D1" i="141"/>
  <c r="C1" i="141"/>
  <c r="B1" i="141"/>
  <c r="A8" i="140"/>
  <c r="A9" i="140" s="1"/>
  <c r="A10" i="140" s="1"/>
  <c r="A11" i="140" s="1"/>
  <c r="A12" i="140" s="1"/>
  <c r="A13" i="140" s="1"/>
  <c r="A14" i="140" s="1"/>
  <c r="A15" i="140" s="1"/>
  <c r="A16" i="140" s="1"/>
  <c r="A17" i="140" s="1"/>
  <c r="A18" i="140" s="1"/>
  <c r="A19" i="140" s="1"/>
  <c r="A20" i="140" s="1"/>
  <c r="A21" i="140" s="1"/>
  <c r="A22" i="140" s="1"/>
  <c r="A23" i="140" s="1"/>
  <c r="A24" i="140" s="1"/>
  <c r="A25" i="140" s="1"/>
  <c r="A26" i="140" s="1"/>
  <c r="A27" i="140" s="1"/>
  <c r="A28" i="140" s="1"/>
  <c r="A29" i="140" s="1"/>
  <c r="A30" i="140" s="1"/>
  <c r="A31" i="140" s="1"/>
  <c r="A32" i="140" s="1"/>
  <c r="A33" i="140" s="1"/>
  <c r="A34" i="140" s="1"/>
  <c r="A35" i="140" s="1"/>
  <c r="A36" i="140" s="1"/>
  <c r="A37" i="140" s="1"/>
  <c r="A38" i="140" s="1"/>
  <c r="A39" i="140" s="1"/>
  <c r="A40" i="140" s="1"/>
  <c r="A41" i="140" s="1"/>
  <c r="A42" i="140" s="1"/>
  <c r="A43" i="140" s="1"/>
  <c r="A44" i="140" s="1"/>
  <c r="A45" i="140" s="1"/>
  <c r="A46" i="140" s="1"/>
  <c r="A47" i="140" s="1"/>
  <c r="A48" i="140" s="1"/>
  <c r="A49" i="140" s="1"/>
  <c r="A50" i="140" s="1"/>
  <c r="A51" i="140" s="1"/>
  <c r="A52" i="140" s="1"/>
  <c r="A53" i="140" s="1"/>
  <c r="A54" i="140" s="1"/>
  <c r="A55" i="140" s="1"/>
  <c r="A56" i="140" s="1"/>
  <c r="A57" i="140" s="1"/>
  <c r="A58" i="140" s="1"/>
  <c r="A59" i="140" s="1"/>
  <c r="A60" i="140" s="1"/>
  <c r="A61" i="140" s="1"/>
  <c r="A62" i="140" s="1"/>
  <c r="A63" i="140" s="1"/>
  <c r="A64" i="140" s="1"/>
  <c r="A65" i="140" s="1"/>
  <c r="A66" i="140" s="1"/>
  <c r="A67" i="140" s="1"/>
  <c r="A68" i="140" s="1"/>
  <c r="A69" i="140" s="1"/>
  <c r="A70" i="140" s="1"/>
  <c r="A71" i="140" s="1"/>
  <c r="A72" i="140" s="1"/>
  <c r="A73" i="140" s="1"/>
  <c r="A74" i="140" s="1"/>
  <c r="A75" i="140" s="1"/>
  <c r="A76" i="140" s="1"/>
  <c r="A77" i="140" s="1"/>
  <c r="A78" i="140" s="1"/>
  <c r="A79" i="140" s="1"/>
  <c r="A80" i="140" s="1"/>
  <c r="A81" i="140" s="1"/>
  <c r="A82" i="140" s="1"/>
  <c r="A83" i="140" s="1"/>
  <c r="A84" i="140" s="1"/>
  <c r="A85" i="140" s="1"/>
  <c r="A86" i="140" s="1"/>
  <c r="A87" i="140" s="1"/>
  <c r="A88" i="140" s="1"/>
  <c r="A89" i="140" s="1"/>
  <c r="A90" i="140" s="1"/>
  <c r="A91" i="140" s="1"/>
  <c r="A7" i="140"/>
  <c r="F1" i="140"/>
  <c r="E1" i="140"/>
  <c r="D1" i="140"/>
  <c r="C1" i="140"/>
  <c r="B1" i="140"/>
  <c r="A8" i="139"/>
  <c r="A9" i="139" s="1"/>
  <c r="A10" i="139" s="1"/>
  <c r="A11" i="139" s="1"/>
  <c r="A12" i="139" s="1"/>
  <c r="A13" i="139" s="1"/>
  <c r="A14" i="139" s="1"/>
  <c r="A15" i="139" s="1"/>
  <c r="A16" i="139" s="1"/>
  <c r="A17" i="139" s="1"/>
  <c r="A18" i="139" s="1"/>
  <c r="A19" i="139" s="1"/>
  <c r="A20" i="139" s="1"/>
  <c r="A21" i="139" s="1"/>
  <c r="A22" i="139" s="1"/>
  <c r="A23" i="139" s="1"/>
  <c r="A24" i="139" s="1"/>
  <c r="A25" i="139" s="1"/>
  <c r="A26" i="139" s="1"/>
  <c r="A27" i="139" s="1"/>
  <c r="A28" i="139" s="1"/>
  <c r="A29" i="139" s="1"/>
  <c r="A30" i="139" s="1"/>
  <c r="A31" i="139" s="1"/>
  <c r="A32" i="139" s="1"/>
  <c r="A33" i="139" s="1"/>
  <c r="A34" i="139" s="1"/>
  <c r="A35" i="139" s="1"/>
  <c r="A36" i="139" s="1"/>
  <c r="A37" i="139" s="1"/>
  <c r="A38" i="139" s="1"/>
  <c r="A39" i="139" s="1"/>
  <c r="A40" i="139" s="1"/>
  <c r="A41" i="139" s="1"/>
  <c r="A42" i="139" s="1"/>
  <c r="A43" i="139" s="1"/>
  <c r="A44" i="139" s="1"/>
  <c r="A45" i="139" s="1"/>
  <c r="A46" i="139" s="1"/>
  <c r="A47" i="139" s="1"/>
  <c r="A48" i="139" s="1"/>
  <c r="A49" i="139" s="1"/>
  <c r="A50" i="139" s="1"/>
  <c r="A51" i="139" s="1"/>
  <c r="A52" i="139" s="1"/>
  <c r="A53" i="139" s="1"/>
  <c r="A54" i="139" s="1"/>
  <c r="A55" i="139" s="1"/>
  <c r="A56" i="139" s="1"/>
  <c r="A57" i="139" s="1"/>
  <c r="A58" i="139" s="1"/>
  <c r="A59" i="139" s="1"/>
  <c r="A60" i="139" s="1"/>
  <c r="A61" i="139" s="1"/>
  <c r="A62" i="139" s="1"/>
  <c r="A63" i="139" s="1"/>
  <c r="A64" i="139" s="1"/>
  <c r="A65" i="139" s="1"/>
  <c r="A66" i="139" s="1"/>
  <c r="A67" i="139" s="1"/>
  <c r="A68" i="139" s="1"/>
  <c r="A69" i="139" s="1"/>
  <c r="A70" i="139" s="1"/>
  <c r="A71" i="139" s="1"/>
  <c r="A72" i="139" s="1"/>
  <c r="A73" i="139" s="1"/>
  <c r="A74" i="139" s="1"/>
  <c r="A75" i="139" s="1"/>
  <c r="A76" i="139" s="1"/>
  <c r="A77" i="139" s="1"/>
  <c r="A78" i="139" s="1"/>
  <c r="A79" i="139" s="1"/>
  <c r="A80" i="139" s="1"/>
  <c r="A81" i="139" s="1"/>
  <c r="A82" i="139" s="1"/>
  <c r="A83" i="139" s="1"/>
  <c r="A84" i="139" s="1"/>
  <c r="A85" i="139" s="1"/>
  <c r="A86" i="139" s="1"/>
  <c r="A87" i="139" s="1"/>
  <c r="A88" i="139" s="1"/>
  <c r="A89" i="139" s="1"/>
  <c r="A90" i="139" s="1"/>
  <c r="A91" i="139" s="1"/>
  <c r="A7" i="139"/>
  <c r="F1" i="139"/>
  <c r="E1" i="139"/>
  <c r="D1" i="139"/>
  <c r="C1" i="139"/>
  <c r="B1" i="139"/>
  <c r="A8" i="138"/>
  <c r="A9" i="138" s="1"/>
  <c r="A10" i="138" s="1"/>
  <c r="A11" i="138" s="1"/>
  <c r="A12" i="138" s="1"/>
  <c r="A13" i="138" s="1"/>
  <c r="A14" i="138" s="1"/>
  <c r="A15" i="138" s="1"/>
  <c r="A16" i="138" s="1"/>
  <c r="A17" i="138" s="1"/>
  <c r="A18" i="138" s="1"/>
  <c r="A19" i="138" s="1"/>
  <c r="A20" i="138" s="1"/>
  <c r="A21" i="138" s="1"/>
  <c r="A22" i="138" s="1"/>
  <c r="A23" i="138" s="1"/>
  <c r="A24" i="138" s="1"/>
  <c r="A25" i="138" s="1"/>
  <c r="A26" i="138" s="1"/>
  <c r="A27" i="138" s="1"/>
  <c r="A28" i="138" s="1"/>
  <c r="A29" i="138" s="1"/>
  <c r="A30" i="138" s="1"/>
  <c r="A31" i="138" s="1"/>
  <c r="A32" i="138" s="1"/>
  <c r="A33" i="138" s="1"/>
  <c r="A34" i="138" s="1"/>
  <c r="A35" i="138" s="1"/>
  <c r="A36" i="138" s="1"/>
  <c r="A37" i="138" s="1"/>
  <c r="A38" i="138" s="1"/>
  <c r="A39" i="138" s="1"/>
  <c r="A40" i="138" s="1"/>
  <c r="A41" i="138" s="1"/>
  <c r="A42" i="138" s="1"/>
  <c r="A43" i="138" s="1"/>
  <c r="A44" i="138" s="1"/>
  <c r="A45" i="138" s="1"/>
  <c r="A46" i="138" s="1"/>
  <c r="A47" i="138" s="1"/>
  <c r="A48" i="138" s="1"/>
  <c r="A49" i="138" s="1"/>
  <c r="A50" i="138" s="1"/>
  <c r="A51" i="138" s="1"/>
  <c r="A52" i="138" s="1"/>
  <c r="A53" i="138" s="1"/>
  <c r="A54" i="138" s="1"/>
  <c r="A55" i="138" s="1"/>
  <c r="A56" i="138" s="1"/>
  <c r="A57" i="138" s="1"/>
  <c r="A58" i="138" s="1"/>
  <c r="A59" i="138" s="1"/>
  <c r="A60" i="138" s="1"/>
  <c r="A61" i="138" s="1"/>
  <c r="A62" i="138" s="1"/>
  <c r="A63" i="138" s="1"/>
  <c r="A64" i="138" s="1"/>
  <c r="A65" i="138" s="1"/>
  <c r="A66" i="138" s="1"/>
  <c r="A67" i="138" s="1"/>
  <c r="A68" i="138" s="1"/>
  <c r="A69" i="138" s="1"/>
  <c r="A70" i="138" s="1"/>
  <c r="A71" i="138" s="1"/>
  <c r="A72" i="138" s="1"/>
  <c r="A73" i="138" s="1"/>
  <c r="A74" i="138" s="1"/>
  <c r="A75" i="138" s="1"/>
  <c r="A76" i="138" s="1"/>
  <c r="A77" i="138" s="1"/>
  <c r="A78" i="138" s="1"/>
  <c r="A79" i="138" s="1"/>
  <c r="A80" i="138" s="1"/>
  <c r="A81" i="138" s="1"/>
  <c r="A82" i="138" s="1"/>
  <c r="A83" i="138" s="1"/>
  <c r="A84" i="138" s="1"/>
  <c r="A85" i="138" s="1"/>
  <c r="A86" i="138" s="1"/>
  <c r="A87" i="138" s="1"/>
  <c r="A88" i="138" s="1"/>
  <c r="A89" i="138" s="1"/>
  <c r="A90" i="138" s="1"/>
  <c r="A91" i="138" s="1"/>
  <c r="A7" i="138"/>
  <c r="F1" i="138"/>
  <c r="E1" i="138"/>
  <c r="D1" i="138"/>
  <c r="C1" i="138"/>
  <c r="B1" i="138"/>
  <c r="A8" i="137"/>
  <c r="A9" i="137" s="1"/>
  <c r="A10" i="137" s="1"/>
  <c r="A11" i="137" s="1"/>
  <c r="A12" i="137" s="1"/>
  <c r="A13" i="137" s="1"/>
  <c r="A14" i="137" s="1"/>
  <c r="A15" i="137" s="1"/>
  <c r="A16" i="137" s="1"/>
  <c r="A17" i="137" s="1"/>
  <c r="A18" i="137" s="1"/>
  <c r="A19" i="137" s="1"/>
  <c r="A20" i="137" s="1"/>
  <c r="A21" i="137" s="1"/>
  <c r="A22" i="137" s="1"/>
  <c r="A23" i="137" s="1"/>
  <c r="A24" i="137" s="1"/>
  <c r="A25" i="137" s="1"/>
  <c r="A26" i="137" s="1"/>
  <c r="A27" i="137" s="1"/>
  <c r="A28" i="137" s="1"/>
  <c r="A29" i="137" s="1"/>
  <c r="A30" i="137" s="1"/>
  <c r="A31" i="137" s="1"/>
  <c r="A32" i="137" s="1"/>
  <c r="A33" i="137" s="1"/>
  <c r="A34" i="137" s="1"/>
  <c r="A35" i="137" s="1"/>
  <c r="A36" i="137" s="1"/>
  <c r="A37" i="137" s="1"/>
  <c r="A38" i="137" s="1"/>
  <c r="A39" i="137" s="1"/>
  <c r="A40" i="137" s="1"/>
  <c r="A41" i="137" s="1"/>
  <c r="A42" i="137" s="1"/>
  <c r="A43" i="137" s="1"/>
  <c r="A44" i="137" s="1"/>
  <c r="A45" i="137" s="1"/>
  <c r="A46" i="137" s="1"/>
  <c r="A47" i="137" s="1"/>
  <c r="A48" i="137" s="1"/>
  <c r="A49" i="137" s="1"/>
  <c r="A50" i="137" s="1"/>
  <c r="A51" i="137" s="1"/>
  <c r="A52" i="137" s="1"/>
  <c r="A53" i="137" s="1"/>
  <c r="A54" i="137" s="1"/>
  <c r="A55" i="137" s="1"/>
  <c r="A56" i="137" s="1"/>
  <c r="A57" i="137" s="1"/>
  <c r="A58" i="137" s="1"/>
  <c r="A59" i="137" s="1"/>
  <c r="A60" i="137" s="1"/>
  <c r="A61" i="137" s="1"/>
  <c r="A62" i="137" s="1"/>
  <c r="A63" i="137" s="1"/>
  <c r="A64" i="137" s="1"/>
  <c r="A65" i="137" s="1"/>
  <c r="A66" i="137" s="1"/>
  <c r="A67" i="137" s="1"/>
  <c r="A68" i="137" s="1"/>
  <c r="A69" i="137" s="1"/>
  <c r="A70" i="137" s="1"/>
  <c r="A71" i="137" s="1"/>
  <c r="A72" i="137" s="1"/>
  <c r="A73" i="137" s="1"/>
  <c r="A74" i="137" s="1"/>
  <c r="A75" i="137" s="1"/>
  <c r="A76" i="137" s="1"/>
  <c r="A77" i="137" s="1"/>
  <c r="A78" i="137" s="1"/>
  <c r="A79" i="137" s="1"/>
  <c r="A80" i="137" s="1"/>
  <c r="A81" i="137" s="1"/>
  <c r="A82" i="137" s="1"/>
  <c r="A83" i="137" s="1"/>
  <c r="A84" i="137" s="1"/>
  <c r="A85" i="137" s="1"/>
  <c r="A86" i="137" s="1"/>
  <c r="A87" i="137" s="1"/>
  <c r="A88" i="137" s="1"/>
  <c r="A89" i="137" s="1"/>
  <c r="A90" i="137" s="1"/>
  <c r="A91" i="137" s="1"/>
  <c r="A7" i="137"/>
  <c r="F1" i="137"/>
  <c r="E1" i="137"/>
  <c r="D1" i="137"/>
  <c r="C1" i="137"/>
  <c r="B1" i="137"/>
  <c r="A8" i="136"/>
  <c r="A9" i="136" s="1"/>
  <c r="A10" i="136" s="1"/>
  <c r="A11" i="136" s="1"/>
  <c r="A12" i="136" s="1"/>
  <c r="A13" i="136" s="1"/>
  <c r="A14" i="136" s="1"/>
  <c r="A15" i="136" s="1"/>
  <c r="A16" i="136" s="1"/>
  <c r="A17" i="136" s="1"/>
  <c r="A18" i="136" s="1"/>
  <c r="A19" i="136" s="1"/>
  <c r="A20" i="136" s="1"/>
  <c r="A21" i="136" s="1"/>
  <c r="A22" i="136" s="1"/>
  <c r="A23" i="136" s="1"/>
  <c r="A24" i="136" s="1"/>
  <c r="A25" i="136" s="1"/>
  <c r="A26" i="136" s="1"/>
  <c r="A27" i="136" s="1"/>
  <c r="A28" i="136" s="1"/>
  <c r="A29" i="136" s="1"/>
  <c r="A30" i="136" s="1"/>
  <c r="A31" i="136" s="1"/>
  <c r="A32" i="136" s="1"/>
  <c r="A33" i="136" s="1"/>
  <c r="A34" i="136" s="1"/>
  <c r="A35" i="136" s="1"/>
  <c r="A36" i="136" s="1"/>
  <c r="A37" i="136" s="1"/>
  <c r="A38" i="136" s="1"/>
  <c r="A39" i="136" s="1"/>
  <c r="A40" i="136" s="1"/>
  <c r="A41" i="136" s="1"/>
  <c r="A42" i="136" s="1"/>
  <c r="A43" i="136" s="1"/>
  <c r="A44" i="136" s="1"/>
  <c r="A45" i="136" s="1"/>
  <c r="A46" i="136" s="1"/>
  <c r="A47" i="136" s="1"/>
  <c r="A48" i="136" s="1"/>
  <c r="A49" i="136" s="1"/>
  <c r="A50" i="136" s="1"/>
  <c r="A51" i="136" s="1"/>
  <c r="A52" i="136" s="1"/>
  <c r="A53" i="136" s="1"/>
  <c r="A54" i="136" s="1"/>
  <c r="A55" i="136" s="1"/>
  <c r="A56" i="136" s="1"/>
  <c r="A57" i="136" s="1"/>
  <c r="A58" i="136" s="1"/>
  <c r="A59" i="136" s="1"/>
  <c r="A60" i="136" s="1"/>
  <c r="A61" i="136" s="1"/>
  <c r="A62" i="136" s="1"/>
  <c r="A63" i="136" s="1"/>
  <c r="A64" i="136" s="1"/>
  <c r="A65" i="136" s="1"/>
  <c r="A66" i="136" s="1"/>
  <c r="A67" i="136" s="1"/>
  <c r="A68" i="136" s="1"/>
  <c r="A69" i="136" s="1"/>
  <c r="A70" i="136" s="1"/>
  <c r="A71" i="136" s="1"/>
  <c r="A72" i="136" s="1"/>
  <c r="A73" i="136" s="1"/>
  <c r="A74" i="136" s="1"/>
  <c r="A75" i="136" s="1"/>
  <c r="A76" i="136" s="1"/>
  <c r="A77" i="136" s="1"/>
  <c r="A78" i="136" s="1"/>
  <c r="A79" i="136" s="1"/>
  <c r="A80" i="136" s="1"/>
  <c r="A81" i="136" s="1"/>
  <c r="A82" i="136" s="1"/>
  <c r="A83" i="136" s="1"/>
  <c r="A84" i="136" s="1"/>
  <c r="A85" i="136" s="1"/>
  <c r="A86" i="136" s="1"/>
  <c r="A87" i="136" s="1"/>
  <c r="A88" i="136" s="1"/>
  <c r="A89" i="136" s="1"/>
  <c r="A90" i="136" s="1"/>
  <c r="A91" i="136" s="1"/>
  <c r="A7" i="136"/>
  <c r="F1" i="136"/>
  <c r="E1" i="136"/>
  <c r="D1" i="136"/>
  <c r="C1" i="136"/>
  <c r="B1" i="136"/>
  <c r="A8" i="135"/>
  <c r="A9" i="135" s="1"/>
  <c r="A10" i="135" s="1"/>
  <c r="A11" i="135" s="1"/>
  <c r="A12" i="135" s="1"/>
  <c r="A13" i="135" s="1"/>
  <c r="A14" i="135" s="1"/>
  <c r="A15" i="135" s="1"/>
  <c r="A16" i="135" s="1"/>
  <c r="A17" i="135" s="1"/>
  <c r="A18" i="135" s="1"/>
  <c r="A19" i="135" s="1"/>
  <c r="A20" i="135" s="1"/>
  <c r="A21" i="135" s="1"/>
  <c r="A22" i="135" s="1"/>
  <c r="A23" i="135" s="1"/>
  <c r="A24" i="135" s="1"/>
  <c r="A25" i="135" s="1"/>
  <c r="A26" i="135" s="1"/>
  <c r="A27" i="135" s="1"/>
  <c r="A28" i="135" s="1"/>
  <c r="A29" i="135" s="1"/>
  <c r="A30" i="135" s="1"/>
  <c r="A31" i="135" s="1"/>
  <c r="A32" i="135" s="1"/>
  <c r="A33" i="135" s="1"/>
  <c r="A34" i="135" s="1"/>
  <c r="A35" i="135" s="1"/>
  <c r="A36" i="135" s="1"/>
  <c r="A37" i="135" s="1"/>
  <c r="A38" i="135" s="1"/>
  <c r="A39" i="135" s="1"/>
  <c r="A40" i="135" s="1"/>
  <c r="A41" i="135" s="1"/>
  <c r="A42" i="135" s="1"/>
  <c r="A43" i="135" s="1"/>
  <c r="A44" i="135" s="1"/>
  <c r="A45" i="135" s="1"/>
  <c r="A46" i="135" s="1"/>
  <c r="A47" i="135" s="1"/>
  <c r="A48" i="135" s="1"/>
  <c r="A49" i="135" s="1"/>
  <c r="A50" i="135" s="1"/>
  <c r="A51" i="135" s="1"/>
  <c r="A52" i="135" s="1"/>
  <c r="A53" i="135" s="1"/>
  <c r="A54" i="135" s="1"/>
  <c r="A55" i="135" s="1"/>
  <c r="A56" i="135" s="1"/>
  <c r="A57" i="135" s="1"/>
  <c r="A58" i="135" s="1"/>
  <c r="A59" i="135" s="1"/>
  <c r="A60" i="135" s="1"/>
  <c r="A61" i="135" s="1"/>
  <c r="A62" i="135" s="1"/>
  <c r="A63" i="135" s="1"/>
  <c r="A64" i="135" s="1"/>
  <c r="A65" i="135" s="1"/>
  <c r="A66" i="135" s="1"/>
  <c r="A67" i="135" s="1"/>
  <c r="A68" i="135" s="1"/>
  <c r="A69" i="135" s="1"/>
  <c r="A70" i="135" s="1"/>
  <c r="A71" i="135" s="1"/>
  <c r="A72" i="135" s="1"/>
  <c r="A73" i="135" s="1"/>
  <c r="A74" i="135" s="1"/>
  <c r="A75" i="135" s="1"/>
  <c r="A76" i="135" s="1"/>
  <c r="A77" i="135" s="1"/>
  <c r="A78" i="135" s="1"/>
  <c r="A79" i="135" s="1"/>
  <c r="A80" i="135" s="1"/>
  <c r="A81" i="135" s="1"/>
  <c r="A82" i="135" s="1"/>
  <c r="A83" i="135" s="1"/>
  <c r="A84" i="135" s="1"/>
  <c r="A85" i="135" s="1"/>
  <c r="A86" i="135" s="1"/>
  <c r="A87" i="135" s="1"/>
  <c r="A88" i="135" s="1"/>
  <c r="A89" i="135" s="1"/>
  <c r="A90" i="135" s="1"/>
  <c r="A91" i="135" s="1"/>
  <c r="A7" i="135"/>
  <c r="F1" i="135"/>
  <c r="E1" i="135"/>
  <c r="D1" i="135"/>
  <c r="C1" i="135"/>
  <c r="B1" i="135"/>
  <c r="A8" i="134"/>
  <c r="A9" i="134" s="1"/>
  <c r="A10" i="134" s="1"/>
  <c r="A11" i="134" s="1"/>
  <c r="A12" i="134" s="1"/>
  <c r="A13" i="134" s="1"/>
  <c r="A14" i="134" s="1"/>
  <c r="A15" i="134" s="1"/>
  <c r="A16" i="134" s="1"/>
  <c r="A17" i="134" s="1"/>
  <c r="A18" i="134" s="1"/>
  <c r="A19" i="134" s="1"/>
  <c r="A20" i="134" s="1"/>
  <c r="A21" i="134" s="1"/>
  <c r="A22" i="134" s="1"/>
  <c r="A23" i="134" s="1"/>
  <c r="A24" i="134" s="1"/>
  <c r="A25" i="134" s="1"/>
  <c r="A26" i="134" s="1"/>
  <c r="A27" i="134" s="1"/>
  <c r="A28" i="134" s="1"/>
  <c r="A29" i="134" s="1"/>
  <c r="A30" i="134" s="1"/>
  <c r="A31" i="134" s="1"/>
  <c r="A32" i="134" s="1"/>
  <c r="A33" i="134" s="1"/>
  <c r="A34" i="134" s="1"/>
  <c r="A35" i="134" s="1"/>
  <c r="A36" i="134" s="1"/>
  <c r="A37" i="134" s="1"/>
  <c r="A38" i="134" s="1"/>
  <c r="A39" i="134" s="1"/>
  <c r="A40" i="134" s="1"/>
  <c r="A41" i="134" s="1"/>
  <c r="A42" i="134" s="1"/>
  <c r="A43" i="134" s="1"/>
  <c r="A44" i="134" s="1"/>
  <c r="A45" i="134" s="1"/>
  <c r="A46" i="134" s="1"/>
  <c r="A47" i="134" s="1"/>
  <c r="A48" i="134" s="1"/>
  <c r="A49" i="134" s="1"/>
  <c r="A50" i="134" s="1"/>
  <c r="A51" i="134" s="1"/>
  <c r="A52" i="134" s="1"/>
  <c r="A53" i="134" s="1"/>
  <c r="A54" i="134" s="1"/>
  <c r="A55" i="134" s="1"/>
  <c r="A56" i="134" s="1"/>
  <c r="A57" i="134" s="1"/>
  <c r="A58" i="134" s="1"/>
  <c r="A59" i="134" s="1"/>
  <c r="A60" i="134" s="1"/>
  <c r="A61" i="134" s="1"/>
  <c r="A62" i="134" s="1"/>
  <c r="A63" i="134" s="1"/>
  <c r="A64" i="134" s="1"/>
  <c r="A65" i="134" s="1"/>
  <c r="A66" i="134" s="1"/>
  <c r="A67" i="134" s="1"/>
  <c r="A68" i="134" s="1"/>
  <c r="A69" i="134" s="1"/>
  <c r="A70" i="134" s="1"/>
  <c r="A71" i="134" s="1"/>
  <c r="A72" i="134" s="1"/>
  <c r="A73" i="134" s="1"/>
  <c r="A74" i="134" s="1"/>
  <c r="A75" i="134" s="1"/>
  <c r="A76" i="134" s="1"/>
  <c r="A77" i="134" s="1"/>
  <c r="A78" i="134" s="1"/>
  <c r="A79" i="134" s="1"/>
  <c r="A80" i="134" s="1"/>
  <c r="A81" i="134" s="1"/>
  <c r="A82" i="134" s="1"/>
  <c r="A83" i="134" s="1"/>
  <c r="A84" i="134" s="1"/>
  <c r="A85" i="134" s="1"/>
  <c r="A86" i="134" s="1"/>
  <c r="A87" i="134" s="1"/>
  <c r="A88" i="134" s="1"/>
  <c r="A89" i="134" s="1"/>
  <c r="A90" i="134" s="1"/>
  <c r="A91" i="134" s="1"/>
  <c r="A7" i="134"/>
  <c r="F1" i="134"/>
  <c r="E1" i="134"/>
  <c r="D1" i="134"/>
  <c r="C1" i="134"/>
  <c r="B1" i="134"/>
  <c r="A8" i="133"/>
  <c r="A9" i="133" s="1"/>
  <c r="A10" i="133" s="1"/>
  <c r="A11" i="133" s="1"/>
  <c r="A12" i="133" s="1"/>
  <c r="A13" i="133" s="1"/>
  <c r="A14" i="133" s="1"/>
  <c r="A15" i="133" s="1"/>
  <c r="A16" i="133" s="1"/>
  <c r="A17" i="133" s="1"/>
  <c r="A18" i="133" s="1"/>
  <c r="A19" i="133" s="1"/>
  <c r="A20" i="133" s="1"/>
  <c r="A21" i="133" s="1"/>
  <c r="A22" i="133" s="1"/>
  <c r="A23" i="133" s="1"/>
  <c r="A24" i="133" s="1"/>
  <c r="A25" i="133" s="1"/>
  <c r="A26" i="133" s="1"/>
  <c r="A27" i="133" s="1"/>
  <c r="A28" i="133" s="1"/>
  <c r="A29" i="133" s="1"/>
  <c r="A30" i="133" s="1"/>
  <c r="A31" i="133" s="1"/>
  <c r="A32" i="133" s="1"/>
  <c r="A33" i="133" s="1"/>
  <c r="A34" i="133" s="1"/>
  <c r="A35" i="133" s="1"/>
  <c r="A36" i="133" s="1"/>
  <c r="A37" i="133" s="1"/>
  <c r="A38" i="133" s="1"/>
  <c r="A39" i="133" s="1"/>
  <c r="A40" i="133" s="1"/>
  <c r="A41" i="133" s="1"/>
  <c r="A42" i="133" s="1"/>
  <c r="A43" i="133" s="1"/>
  <c r="A44" i="133" s="1"/>
  <c r="A45" i="133" s="1"/>
  <c r="A46" i="133" s="1"/>
  <c r="A47" i="133" s="1"/>
  <c r="A48" i="133" s="1"/>
  <c r="A49" i="133" s="1"/>
  <c r="A50" i="133" s="1"/>
  <c r="A51" i="133" s="1"/>
  <c r="A52" i="133" s="1"/>
  <c r="A53" i="133" s="1"/>
  <c r="A54" i="133" s="1"/>
  <c r="A55" i="133" s="1"/>
  <c r="A56" i="133" s="1"/>
  <c r="A57" i="133" s="1"/>
  <c r="A58" i="133" s="1"/>
  <c r="A59" i="133" s="1"/>
  <c r="A60" i="133" s="1"/>
  <c r="A61" i="133" s="1"/>
  <c r="A62" i="133" s="1"/>
  <c r="A63" i="133" s="1"/>
  <c r="A64" i="133" s="1"/>
  <c r="A65" i="133" s="1"/>
  <c r="A66" i="133" s="1"/>
  <c r="A67" i="133" s="1"/>
  <c r="A68" i="133" s="1"/>
  <c r="A69" i="133" s="1"/>
  <c r="A70" i="133" s="1"/>
  <c r="A71" i="133" s="1"/>
  <c r="A72" i="133" s="1"/>
  <c r="A73" i="133" s="1"/>
  <c r="A74" i="133" s="1"/>
  <c r="A75" i="133" s="1"/>
  <c r="A76" i="133" s="1"/>
  <c r="A77" i="133" s="1"/>
  <c r="A78" i="133" s="1"/>
  <c r="A79" i="133" s="1"/>
  <c r="A80" i="133" s="1"/>
  <c r="A81" i="133" s="1"/>
  <c r="A82" i="133" s="1"/>
  <c r="A83" i="133" s="1"/>
  <c r="A84" i="133" s="1"/>
  <c r="A85" i="133" s="1"/>
  <c r="A86" i="133" s="1"/>
  <c r="A87" i="133" s="1"/>
  <c r="A88" i="133" s="1"/>
  <c r="A89" i="133" s="1"/>
  <c r="A90" i="133" s="1"/>
  <c r="A91" i="133" s="1"/>
  <c r="A7" i="133"/>
  <c r="F1" i="133"/>
  <c r="E1" i="133"/>
  <c r="D1" i="133"/>
  <c r="C1" i="133"/>
  <c r="B1" i="133"/>
  <c r="A8" i="132"/>
  <c r="A9" i="132" s="1"/>
  <c r="A10" i="132" s="1"/>
  <c r="A11" i="132" s="1"/>
  <c r="A12" i="132" s="1"/>
  <c r="A13" i="132" s="1"/>
  <c r="A14" i="132" s="1"/>
  <c r="A15" i="132" s="1"/>
  <c r="A16" i="132" s="1"/>
  <c r="A17" i="132" s="1"/>
  <c r="A18" i="132" s="1"/>
  <c r="A19" i="132" s="1"/>
  <c r="A20" i="132" s="1"/>
  <c r="A21" i="132" s="1"/>
  <c r="A22" i="132" s="1"/>
  <c r="A23" i="132" s="1"/>
  <c r="A24" i="132" s="1"/>
  <c r="A25" i="132" s="1"/>
  <c r="A26" i="132" s="1"/>
  <c r="A27" i="132" s="1"/>
  <c r="A28" i="132" s="1"/>
  <c r="A29" i="132" s="1"/>
  <c r="A30" i="132" s="1"/>
  <c r="A31" i="132" s="1"/>
  <c r="A32" i="132" s="1"/>
  <c r="A33" i="132" s="1"/>
  <c r="A34" i="132" s="1"/>
  <c r="A35" i="132" s="1"/>
  <c r="A36" i="132" s="1"/>
  <c r="A37" i="132" s="1"/>
  <c r="A38" i="132" s="1"/>
  <c r="A39" i="132" s="1"/>
  <c r="A40" i="132" s="1"/>
  <c r="A41" i="132" s="1"/>
  <c r="A42" i="132" s="1"/>
  <c r="A43" i="132" s="1"/>
  <c r="A44" i="132" s="1"/>
  <c r="A45" i="132" s="1"/>
  <c r="A46" i="132" s="1"/>
  <c r="A47" i="132" s="1"/>
  <c r="A48" i="132" s="1"/>
  <c r="A49" i="132" s="1"/>
  <c r="A50" i="132" s="1"/>
  <c r="A51" i="132" s="1"/>
  <c r="A52" i="132" s="1"/>
  <c r="A53" i="132" s="1"/>
  <c r="A54" i="132" s="1"/>
  <c r="A55" i="132" s="1"/>
  <c r="A56" i="132" s="1"/>
  <c r="A57" i="132" s="1"/>
  <c r="A58" i="132" s="1"/>
  <c r="A59" i="132" s="1"/>
  <c r="A60" i="132" s="1"/>
  <c r="A61" i="132" s="1"/>
  <c r="A62" i="132" s="1"/>
  <c r="A63" i="132" s="1"/>
  <c r="A64" i="132" s="1"/>
  <c r="A65" i="132" s="1"/>
  <c r="A66" i="132" s="1"/>
  <c r="A67" i="132" s="1"/>
  <c r="A68" i="132" s="1"/>
  <c r="A69" i="132" s="1"/>
  <c r="A70" i="132" s="1"/>
  <c r="A71" i="132" s="1"/>
  <c r="A72" i="132" s="1"/>
  <c r="A73" i="132" s="1"/>
  <c r="A74" i="132" s="1"/>
  <c r="A75" i="132" s="1"/>
  <c r="A76" i="132" s="1"/>
  <c r="A77" i="132" s="1"/>
  <c r="A78" i="132" s="1"/>
  <c r="A79" i="132" s="1"/>
  <c r="A80" i="132" s="1"/>
  <c r="A81" i="132" s="1"/>
  <c r="A82" i="132" s="1"/>
  <c r="A83" i="132" s="1"/>
  <c r="A84" i="132" s="1"/>
  <c r="A85" i="132" s="1"/>
  <c r="A86" i="132" s="1"/>
  <c r="A87" i="132" s="1"/>
  <c r="A88" i="132" s="1"/>
  <c r="A89" i="132" s="1"/>
  <c r="A90" i="132" s="1"/>
  <c r="A91" i="132" s="1"/>
  <c r="A7" i="132"/>
  <c r="F1" i="132"/>
  <c r="E1" i="132"/>
  <c r="D1" i="132"/>
  <c r="C1" i="132"/>
  <c r="B1" i="132"/>
  <c r="A8" i="131"/>
  <c r="A9" i="131" s="1"/>
  <c r="A10" i="131" s="1"/>
  <c r="A11" i="131" s="1"/>
  <c r="A12" i="131" s="1"/>
  <c r="A13" i="131" s="1"/>
  <c r="A14" i="131" s="1"/>
  <c r="A15" i="131" s="1"/>
  <c r="A16" i="131" s="1"/>
  <c r="A17" i="131" s="1"/>
  <c r="A18" i="131" s="1"/>
  <c r="A19" i="131" s="1"/>
  <c r="A20" i="131" s="1"/>
  <c r="A21" i="131" s="1"/>
  <c r="A22" i="131" s="1"/>
  <c r="A23" i="131" s="1"/>
  <c r="A24" i="131" s="1"/>
  <c r="A25" i="131" s="1"/>
  <c r="A26" i="131" s="1"/>
  <c r="A27" i="131" s="1"/>
  <c r="A28" i="131" s="1"/>
  <c r="A29" i="131" s="1"/>
  <c r="A30" i="131" s="1"/>
  <c r="A31" i="131" s="1"/>
  <c r="A32" i="131" s="1"/>
  <c r="A33" i="131" s="1"/>
  <c r="A34" i="131" s="1"/>
  <c r="A35" i="131" s="1"/>
  <c r="A36" i="131" s="1"/>
  <c r="A37" i="131" s="1"/>
  <c r="A38" i="131" s="1"/>
  <c r="A39" i="131" s="1"/>
  <c r="A40" i="131" s="1"/>
  <c r="A41" i="131" s="1"/>
  <c r="A42" i="131" s="1"/>
  <c r="A43" i="131" s="1"/>
  <c r="A44" i="131" s="1"/>
  <c r="A45" i="131" s="1"/>
  <c r="A46" i="131" s="1"/>
  <c r="A47" i="131" s="1"/>
  <c r="A48" i="131" s="1"/>
  <c r="A49" i="131" s="1"/>
  <c r="A50" i="131" s="1"/>
  <c r="A51" i="131" s="1"/>
  <c r="A52" i="131" s="1"/>
  <c r="A53" i="131" s="1"/>
  <c r="A54" i="131" s="1"/>
  <c r="A55" i="131" s="1"/>
  <c r="A56" i="131" s="1"/>
  <c r="A57" i="131" s="1"/>
  <c r="A58" i="131" s="1"/>
  <c r="A59" i="131" s="1"/>
  <c r="A60" i="131" s="1"/>
  <c r="A61" i="131" s="1"/>
  <c r="A62" i="131" s="1"/>
  <c r="A63" i="131" s="1"/>
  <c r="A64" i="131" s="1"/>
  <c r="A65" i="131" s="1"/>
  <c r="A66" i="131" s="1"/>
  <c r="A67" i="131" s="1"/>
  <c r="A68" i="131" s="1"/>
  <c r="A69" i="131" s="1"/>
  <c r="A70" i="131" s="1"/>
  <c r="A71" i="131" s="1"/>
  <c r="A72" i="131" s="1"/>
  <c r="A73" i="131" s="1"/>
  <c r="A74" i="131" s="1"/>
  <c r="A75" i="131" s="1"/>
  <c r="A76" i="131" s="1"/>
  <c r="A77" i="131" s="1"/>
  <c r="A78" i="131" s="1"/>
  <c r="A79" i="131" s="1"/>
  <c r="A80" i="131" s="1"/>
  <c r="A81" i="131" s="1"/>
  <c r="A82" i="131" s="1"/>
  <c r="A83" i="131" s="1"/>
  <c r="A84" i="131" s="1"/>
  <c r="A85" i="131" s="1"/>
  <c r="A86" i="131" s="1"/>
  <c r="A87" i="131" s="1"/>
  <c r="A88" i="131" s="1"/>
  <c r="A89" i="131" s="1"/>
  <c r="A90" i="131" s="1"/>
  <c r="A91" i="131" s="1"/>
  <c r="A7" i="131"/>
  <c r="F1" i="131"/>
  <c r="E1" i="131"/>
  <c r="D1" i="131"/>
  <c r="C1" i="131"/>
  <c r="B1" i="131"/>
  <c r="A8" i="130"/>
  <c r="A9" i="130" s="1"/>
  <c r="A10" i="130" s="1"/>
  <c r="A11" i="130" s="1"/>
  <c r="A12" i="130" s="1"/>
  <c r="A13" i="130" s="1"/>
  <c r="A14" i="130" s="1"/>
  <c r="A15" i="130" s="1"/>
  <c r="A16" i="130" s="1"/>
  <c r="A17" i="130" s="1"/>
  <c r="A18" i="130" s="1"/>
  <c r="A19" i="130" s="1"/>
  <c r="A20" i="130" s="1"/>
  <c r="A21" i="130" s="1"/>
  <c r="A22" i="130" s="1"/>
  <c r="A23" i="130" s="1"/>
  <c r="A24" i="130" s="1"/>
  <c r="A25" i="130" s="1"/>
  <c r="A26" i="130" s="1"/>
  <c r="A27" i="130" s="1"/>
  <c r="A28" i="130" s="1"/>
  <c r="A29" i="130" s="1"/>
  <c r="A30" i="130" s="1"/>
  <c r="A31" i="130" s="1"/>
  <c r="A32" i="130" s="1"/>
  <c r="A33" i="130" s="1"/>
  <c r="A34" i="130" s="1"/>
  <c r="A35" i="130" s="1"/>
  <c r="A36" i="130" s="1"/>
  <c r="A37" i="130" s="1"/>
  <c r="A38" i="130" s="1"/>
  <c r="A39" i="130" s="1"/>
  <c r="A40" i="130" s="1"/>
  <c r="A41" i="130" s="1"/>
  <c r="A42" i="130" s="1"/>
  <c r="A43" i="130" s="1"/>
  <c r="A44" i="130" s="1"/>
  <c r="A45" i="130" s="1"/>
  <c r="A46" i="130" s="1"/>
  <c r="A47" i="130" s="1"/>
  <c r="A48" i="130" s="1"/>
  <c r="A49" i="130" s="1"/>
  <c r="A50" i="130" s="1"/>
  <c r="A51" i="130" s="1"/>
  <c r="A52" i="130" s="1"/>
  <c r="A53" i="130" s="1"/>
  <c r="A54" i="130" s="1"/>
  <c r="A55" i="130" s="1"/>
  <c r="A56" i="130" s="1"/>
  <c r="A57" i="130" s="1"/>
  <c r="A58" i="130" s="1"/>
  <c r="A59" i="130" s="1"/>
  <c r="A60" i="130" s="1"/>
  <c r="A61" i="130" s="1"/>
  <c r="A62" i="130" s="1"/>
  <c r="A63" i="130" s="1"/>
  <c r="A64" i="130" s="1"/>
  <c r="A65" i="130" s="1"/>
  <c r="A66" i="130" s="1"/>
  <c r="A67" i="130" s="1"/>
  <c r="A68" i="130" s="1"/>
  <c r="A69" i="130" s="1"/>
  <c r="A70" i="130" s="1"/>
  <c r="A71" i="130" s="1"/>
  <c r="A72" i="130" s="1"/>
  <c r="A73" i="130" s="1"/>
  <c r="A74" i="130" s="1"/>
  <c r="A75" i="130" s="1"/>
  <c r="A76" i="130" s="1"/>
  <c r="A77" i="130" s="1"/>
  <c r="A78" i="130" s="1"/>
  <c r="A79" i="130" s="1"/>
  <c r="A80" i="130" s="1"/>
  <c r="A81" i="130" s="1"/>
  <c r="A82" i="130" s="1"/>
  <c r="A83" i="130" s="1"/>
  <c r="A84" i="130" s="1"/>
  <c r="A85" i="130" s="1"/>
  <c r="A86" i="130" s="1"/>
  <c r="A87" i="130" s="1"/>
  <c r="A88" i="130" s="1"/>
  <c r="A89" i="130" s="1"/>
  <c r="A90" i="130" s="1"/>
  <c r="A91" i="130" s="1"/>
  <c r="A7" i="130"/>
  <c r="F1" i="130"/>
  <c r="E1" i="130"/>
  <c r="D1" i="130"/>
  <c r="C1" i="130"/>
  <c r="B1" i="130"/>
  <c r="A8" i="129"/>
  <c r="A9" i="129" s="1"/>
  <c r="A10" i="129" s="1"/>
  <c r="A11" i="129" s="1"/>
  <c r="A12" i="129" s="1"/>
  <c r="A13" i="129" s="1"/>
  <c r="A14" i="129" s="1"/>
  <c r="A15" i="129" s="1"/>
  <c r="A16" i="129" s="1"/>
  <c r="A17" i="129" s="1"/>
  <c r="A18" i="129" s="1"/>
  <c r="A19" i="129" s="1"/>
  <c r="A20" i="129" s="1"/>
  <c r="A21" i="129" s="1"/>
  <c r="A22" i="129" s="1"/>
  <c r="A23" i="129" s="1"/>
  <c r="A24" i="129" s="1"/>
  <c r="A25" i="129" s="1"/>
  <c r="A26" i="129" s="1"/>
  <c r="A27" i="129" s="1"/>
  <c r="A28" i="129" s="1"/>
  <c r="A29" i="129" s="1"/>
  <c r="A30" i="129" s="1"/>
  <c r="A31" i="129" s="1"/>
  <c r="A32" i="129" s="1"/>
  <c r="A33" i="129" s="1"/>
  <c r="A34" i="129" s="1"/>
  <c r="A35" i="129" s="1"/>
  <c r="A36" i="129" s="1"/>
  <c r="A37" i="129" s="1"/>
  <c r="A38" i="129" s="1"/>
  <c r="A39" i="129" s="1"/>
  <c r="A40" i="129" s="1"/>
  <c r="A41" i="129" s="1"/>
  <c r="A42" i="129" s="1"/>
  <c r="A43" i="129" s="1"/>
  <c r="A44" i="129" s="1"/>
  <c r="A45" i="129" s="1"/>
  <c r="A46" i="129" s="1"/>
  <c r="A47" i="129" s="1"/>
  <c r="A48" i="129" s="1"/>
  <c r="A49" i="129" s="1"/>
  <c r="A50" i="129" s="1"/>
  <c r="A51" i="129" s="1"/>
  <c r="A52" i="129" s="1"/>
  <c r="A53" i="129" s="1"/>
  <c r="A54" i="129" s="1"/>
  <c r="A55" i="129" s="1"/>
  <c r="A56" i="129" s="1"/>
  <c r="A57" i="129" s="1"/>
  <c r="A58" i="129" s="1"/>
  <c r="A59" i="129" s="1"/>
  <c r="A60" i="129" s="1"/>
  <c r="A61" i="129" s="1"/>
  <c r="A62" i="129" s="1"/>
  <c r="A63" i="129" s="1"/>
  <c r="A64" i="129" s="1"/>
  <c r="A65" i="129" s="1"/>
  <c r="A66" i="129" s="1"/>
  <c r="A67" i="129" s="1"/>
  <c r="A68" i="129" s="1"/>
  <c r="A69" i="129" s="1"/>
  <c r="A70" i="129" s="1"/>
  <c r="A71" i="129" s="1"/>
  <c r="A72" i="129" s="1"/>
  <c r="A73" i="129" s="1"/>
  <c r="A74" i="129" s="1"/>
  <c r="A75" i="129" s="1"/>
  <c r="A76" i="129" s="1"/>
  <c r="A77" i="129" s="1"/>
  <c r="A78" i="129" s="1"/>
  <c r="A79" i="129" s="1"/>
  <c r="A80" i="129" s="1"/>
  <c r="A81" i="129" s="1"/>
  <c r="A82" i="129" s="1"/>
  <c r="A83" i="129" s="1"/>
  <c r="A84" i="129" s="1"/>
  <c r="A85" i="129" s="1"/>
  <c r="A86" i="129" s="1"/>
  <c r="A87" i="129" s="1"/>
  <c r="A88" i="129" s="1"/>
  <c r="A89" i="129" s="1"/>
  <c r="A90" i="129" s="1"/>
  <c r="A91" i="129" s="1"/>
  <c r="A7" i="129"/>
  <c r="F1" i="129"/>
  <c r="E1" i="129"/>
  <c r="D1" i="129"/>
  <c r="C1" i="129"/>
  <c r="B1" i="129"/>
  <c r="A8" i="128"/>
  <c r="A9" i="128" s="1"/>
  <c r="A10" i="128" s="1"/>
  <c r="A11" i="128" s="1"/>
  <c r="A12" i="128" s="1"/>
  <c r="A13" i="128" s="1"/>
  <c r="A14" i="128" s="1"/>
  <c r="A15" i="128" s="1"/>
  <c r="A16" i="128" s="1"/>
  <c r="A17" i="128" s="1"/>
  <c r="A18" i="128" s="1"/>
  <c r="A19" i="128" s="1"/>
  <c r="A20" i="128" s="1"/>
  <c r="A21" i="128" s="1"/>
  <c r="A22" i="128" s="1"/>
  <c r="A23" i="128" s="1"/>
  <c r="A24" i="128" s="1"/>
  <c r="A25" i="128" s="1"/>
  <c r="A26" i="128" s="1"/>
  <c r="A27" i="128" s="1"/>
  <c r="A28" i="128" s="1"/>
  <c r="A29" i="128" s="1"/>
  <c r="A30" i="128" s="1"/>
  <c r="A31" i="128" s="1"/>
  <c r="A32" i="128" s="1"/>
  <c r="A33" i="128" s="1"/>
  <c r="A34" i="128" s="1"/>
  <c r="A35" i="128" s="1"/>
  <c r="A36" i="128" s="1"/>
  <c r="A37" i="128" s="1"/>
  <c r="A38" i="128" s="1"/>
  <c r="A39" i="128" s="1"/>
  <c r="A40" i="128" s="1"/>
  <c r="A41" i="128" s="1"/>
  <c r="A42" i="128" s="1"/>
  <c r="A43" i="128" s="1"/>
  <c r="A44" i="128" s="1"/>
  <c r="A45" i="128" s="1"/>
  <c r="A46" i="128" s="1"/>
  <c r="A47" i="128" s="1"/>
  <c r="A48" i="128" s="1"/>
  <c r="A49" i="128" s="1"/>
  <c r="A50" i="128" s="1"/>
  <c r="A51" i="128" s="1"/>
  <c r="A52" i="128" s="1"/>
  <c r="A53" i="128" s="1"/>
  <c r="A54" i="128" s="1"/>
  <c r="A55" i="128" s="1"/>
  <c r="A56" i="128" s="1"/>
  <c r="A57" i="128" s="1"/>
  <c r="A58" i="128" s="1"/>
  <c r="A59" i="128" s="1"/>
  <c r="A60" i="128" s="1"/>
  <c r="A61" i="128" s="1"/>
  <c r="A62" i="128" s="1"/>
  <c r="A63" i="128" s="1"/>
  <c r="A64" i="128" s="1"/>
  <c r="A65" i="128" s="1"/>
  <c r="A66" i="128" s="1"/>
  <c r="A67" i="128" s="1"/>
  <c r="A68" i="128" s="1"/>
  <c r="A69" i="128" s="1"/>
  <c r="A70" i="128" s="1"/>
  <c r="A71" i="128" s="1"/>
  <c r="A72" i="128" s="1"/>
  <c r="A73" i="128" s="1"/>
  <c r="A74" i="128" s="1"/>
  <c r="A75" i="128" s="1"/>
  <c r="A76" i="128" s="1"/>
  <c r="A77" i="128" s="1"/>
  <c r="A78" i="128" s="1"/>
  <c r="A79" i="128" s="1"/>
  <c r="A80" i="128" s="1"/>
  <c r="A81" i="128" s="1"/>
  <c r="A82" i="128" s="1"/>
  <c r="A83" i="128" s="1"/>
  <c r="A84" i="128" s="1"/>
  <c r="A85" i="128" s="1"/>
  <c r="A86" i="128" s="1"/>
  <c r="A87" i="128" s="1"/>
  <c r="A88" i="128" s="1"/>
  <c r="A89" i="128" s="1"/>
  <c r="A90" i="128" s="1"/>
  <c r="A91" i="128" s="1"/>
  <c r="A7" i="128"/>
  <c r="F1" i="128"/>
  <c r="E1" i="128"/>
  <c r="D1" i="128"/>
  <c r="C1" i="128"/>
  <c r="B1" i="128"/>
  <c r="A8" i="127"/>
  <c r="A9" i="127" s="1"/>
  <c r="A10" i="127" s="1"/>
  <c r="A11" i="127" s="1"/>
  <c r="A12" i="127" s="1"/>
  <c r="A13" i="127" s="1"/>
  <c r="A14" i="127" s="1"/>
  <c r="A15" i="127" s="1"/>
  <c r="A16" i="127" s="1"/>
  <c r="A17" i="127" s="1"/>
  <c r="A18" i="127" s="1"/>
  <c r="A19" i="127" s="1"/>
  <c r="A20" i="127" s="1"/>
  <c r="A21" i="127" s="1"/>
  <c r="A22" i="127" s="1"/>
  <c r="A23" i="127" s="1"/>
  <c r="A24" i="127" s="1"/>
  <c r="A25" i="127" s="1"/>
  <c r="A26" i="127" s="1"/>
  <c r="A27" i="127" s="1"/>
  <c r="A28" i="127" s="1"/>
  <c r="A29" i="127" s="1"/>
  <c r="A30" i="127" s="1"/>
  <c r="A31" i="127" s="1"/>
  <c r="A32" i="127" s="1"/>
  <c r="A33" i="127" s="1"/>
  <c r="A34" i="127" s="1"/>
  <c r="A35" i="127" s="1"/>
  <c r="A36" i="127" s="1"/>
  <c r="A37" i="127" s="1"/>
  <c r="A38" i="127" s="1"/>
  <c r="A39" i="127" s="1"/>
  <c r="A40" i="127" s="1"/>
  <c r="A41" i="127" s="1"/>
  <c r="A42" i="127" s="1"/>
  <c r="A43" i="127" s="1"/>
  <c r="A44" i="127" s="1"/>
  <c r="A45" i="127" s="1"/>
  <c r="A46" i="127" s="1"/>
  <c r="A47" i="127" s="1"/>
  <c r="A48" i="127" s="1"/>
  <c r="A49" i="127" s="1"/>
  <c r="A50" i="127" s="1"/>
  <c r="A51" i="127" s="1"/>
  <c r="A52" i="127" s="1"/>
  <c r="A53" i="127" s="1"/>
  <c r="A54" i="127" s="1"/>
  <c r="A55" i="127" s="1"/>
  <c r="A56" i="127" s="1"/>
  <c r="A57" i="127" s="1"/>
  <c r="A58" i="127" s="1"/>
  <c r="A59" i="127" s="1"/>
  <c r="A60" i="127" s="1"/>
  <c r="A61" i="127" s="1"/>
  <c r="A62" i="127" s="1"/>
  <c r="A63" i="127" s="1"/>
  <c r="A64" i="127" s="1"/>
  <c r="A65" i="127" s="1"/>
  <c r="A66" i="127" s="1"/>
  <c r="A67" i="127" s="1"/>
  <c r="A68" i="127" s="1"/>
  <c r="A69" i="127" s="1"/>
  <c r="A70" i="127" s="1"/>
  <c r="A71" i="127" s="1"/>
  <c r="A72" i="127" s="1"/>
  <c r="A73" i="127" s="1"/>
  <c r="A74" i="127" s="1"/>
  <c r="A75" i="127" s="1"/>
  <c r="A76" i="127" s="1"/>
  <c r="A77" i="127" s="1"/>
  <c r="A78" i="127" s="1"/>
  <c r="A79" i="127" s="1"/>
  <c r="A80" i="127" s="1"/>
  <c r="A81" i="127" s="1"/>
  <c r="A82" i="127" s="1"/>
  <c r="A83" i="127" s="1"/>
  <c r="A84" i="127" s="1"/>
  <c r="A85" i="127" s="1"/>
  <c r="A86" i="127" s="1"/>
  <c r="A87" i="127" s="1"/>
  <c r="A88" i="127" s="1"/>
  <c r="A89" i="127" s="1"/>
  <c r="A90" i="127" s="1"/>
  <c r="A91" i="127" s="1"/>
  <c r="A7" i="127"/>
  <c r="F1" i="127"/>
  <c r="E1" i="127"/>
  <c r="D1" i="127"/>
  <c r="C1" i="127"/>
  <c r="B1" i="127"/>
  <c r="A8" i="126"/>
  <c r="A9" i="126" s="1"/>
  <c r="A10" i="126" s="1"/>
  <c r="A11" i="126" s="1"/>
  <c r="A12" i="126" s="1"/>
  <c r="A13" i="126" s="1"/>
  <c r="A14" i="126" s="1"/>
  <c r="A15" i="126" s="1"/>
  <c r="A16" i="126" s="1"/>
  <c r="A17" i="126" s="1"/>
  <c r="A18" i="126" s="1"/>
  <c r="A19" i="126" s="1"/>
  <c r="A20" i="126" s="1"/>
  <c r="A21" i="126" s="1"/>
  <c r="A22" i="126" s="1"/>
  <c r="A23" i="126" s="1"/>
  <c r="A24" i="126" s="1"/>
  <c r="A25" i="126" s="1"/>
  <c r="A26" i="126" s="1"/>
  <c r="A27" i="126" s="1"/>
  <c r="A28" i="126" s="1"/>
  <c r="A29" i="126" s="1"/>
  <c r="A30" i="126" s="1"/>
  <c r="A31" i="126" s="1"/>
  <c r="A32" i="126" s="1"/>
  <c r="A33" i="126" s="1"/>
  <c r="A34" i="126" s="1"/>
  <c r="A35" i="126" s="1"/>
  <c r="A36" i="126" s="1"/>
  <c r="A37" i="126" s="1"/>
  <c r="A38" i="126" s="1"/>
  <c r="A39" i="126" s="1"/>
  <c r="A40" i="126" s="1"/>
  <c r="A41" i="126" s="1"/>
  <c r="A42" i="126" s="1"/>
  <c r="A43" i="126" s="1"/>
  <c r="A44" i="126" s="1"/>
  <c r="A45" i="126" s="1"/>
  <c r="A46" i="126" s="1"/>
  <c r="A47" i="126" s="1"/>
  <c r="A48" i="126" s="1"/>
  <c r="A49" i="126" s="1"/>
  <c r="A50" i="126" s="1"/>
  <c r="A51" i="126" s="1"/>
  <c r="A52" i="126" s="1"/>
  <c r="A53" i="126" s="1"/>
  <c r="A54" i="126" s="1"/>
  <c r="A55" i="126" s="1"/>
  <c r="A56" i="126" s="1"/>
  <c r="A57" i="126" s="1"/>
  <c r="A58" i="126" s="1"/>
  <c r="A59" i="126" s="1"/>
  <c r="A60" i="126" s="1"/>
  <c r="A61" i="126" s="1"/>
  <c r="A62" i="126" s="1"/>
  <c r="A63" i="126" s="1"/>
  <c r="A64" i="126" s="1"/>
  <c r="A65" i="126" s="1"/>
  <c r="A66" i="126" s="1"/>
  <c r="A67" i="126" s="1"/>
  <c r="A68" i="126" s="1"/>
  <c r="A69" i="126" s="1"/>
  <c r="A70" i="126" s="1"/>
  <c r="A71" i="126" s="1"/>
  <c r="A72" i="126" s="1"/>
  <c r="A73" i="126" s="1"/>
  <c r="A74" i="126" s="1"/>
  <c r="A75" i="126" s="1"/>
  <c r="A76" i="126" s="1"/>
  <c r="A77" i="126" s="1"/>
  <c r="A78" i="126" s="1"/>
  <c r="A79" i="126" s="1"/>
  <c r="A80" i="126" s="1"/>
  <c r="A81" i="126" s="1"/>
  <c r="A82" i="126" s="1"/>
  <c r="A83" i="126" s="1"/>
  <c r="A84" i="126" s="1"/>
  <c r="A85" i="126" s="1"/>
  <c r="A86" i="126" s="1"/>
  <c r="A87" i="126" s="1"/>
  <c r="A88" i="126" s="1"/>
  <c r="A89" i="126" s="1"/>
  <c r="A90" i="126" s="1"/>
  <c r="A91" i="126" s="1"/>
  <c r="A7" i="126"/>
  <c r="F1" i="126"/>
  <c r="E1" i="126"/>
  <c r="D1" i="126"/>
  <c r="C1" i="126"/>
  <c r="B1" i="126"/>
  <c r="A8" i="125"/>
  <c r="A9" i="125" s="1"/>
  <c r="A10" i="125" s="1"/>
  <c r="A11" i="125" s="1"/>
  <c r="A12" i="125" s="1"/>
  <c r="A13" i="125" s="1"/>
  <c r="A14" i="125" s="1"/>
  <c r="A15" i="125" s="1"/>
  <c r="A16" i="125" s="1"/>
  <c r="A17" i="125" s="1"/>
  <c r="A18" i="125" s="1"/>
  <c r="A19" i="125" s="1"/>
  <c r="A20" i="125" s="1"/>
  <c r="A21" i="125" s="1"/>
  <c r="A22" i="125" s="1"/>
  <c r="A23" i="125" s="1"/>
  <c r="A24" i="125" s="1"/>
  <c r="A25" i="125" s="1"/>
  <c r="A26" i="125" s="1"/>
  <c r="A27" i="125" s="1"/>
  <c r="A28" i="125" s="1"/>
  <c r="A29" i="125" s="1"/>
  <c r="A30" i="125" s="1"/>
  <c r="A31" i="125" s="1"/>
  <c r="A32" i="125" s="1"/>
  <c r="A33" i="125" s="1"/>
  <c r="A34" i="125" s="1"/>
  <c r="A35" i="125" s="1"/>
  <c r="A36" i="125" s="1"/>
  <c r="A37" i="125" s="1"/>
  <c r="A38" i="125" s="1"/>
  <c r="A39" i="125" s="1"/>
  <c r="A40" i="125" s="1"/>
  <c r="A41" i="125" s="1"/>
  <c r="A42" i="125" s="1"/>
  <c r="A43" i="125" s="1"/>
  <c r="A44" i="125" s="1"/>
  <c r="A45" i="125" s="1"/>
  <c r="A46" i="125" s="1"/>
  <c r="A47" i="125" s="1"/>
  <c r="A48" i="125" s="1"/>
  <c r="A49" i="125" s="1"/>
  <c r="A50" i="125" s="1"/>
  <c r="A51" i="125" s="1"/>
  <c r="A52" i="125" s="1"/>
  <c r="A53" i="125" s="1"/>
  <c r="A54" i="125" s="1"/>
  <c r="A55" i="125" s="1"/>
  <c r="A56" i="125" s="1"/>
  <c r="A57" i="125" s="1"/>
  <c r="A58" i="125" s="1"/>
  <c r="A59" i="125" s="1"/>
  <c r="A60" i="125" s="1"/>
  <c r="A61" i="125" s="1"/>
  <c r="A62" i="125" s="1"/>
  <c r="A63" i="125" s="1"/>
  <c r="A64" i="125" s="1"/>
  <c r="A65" i="125" s="1"/>
  <c r="A66" i="125" s="1"/>
  <c r="A67" i="125" s="1"/>
  <c r="A68" i="125" s="1"/>
  <c r="A69" i="125" s="1"/>
  <c r="A70" i="125" s="1"/>
  <c r="A71" i="125" s="1"/>
  <c r="A72" i="125" s="1"/>
  <c r="A73" i="125" s="1"/>
  <c r="A74" i="125" s="1"/>
  <c r="A75" i="125" s="1"/>
  <c r="A76" i="125" s="1"/>
  <c r="A77" i="125" s="1"/>
  <c r="A78" i="125" s="1"/>
  <c r="A79" i="125" s="1"/>
  <c r="A80" i="125" s="1"/>
  <c r="A81" i="125" s="1"/>
  <c r="A82" i="125" s="1"/>
  <c r="A83" i="125" s="1"/>
  <c r="A84" i="125" s="1"/>
  <c r="A85" i="125" s="1"/>
  <c r="A86" i="125" s="1"/>
  <c r="A87" i="125" s="1"/>
  <c r="A88" i="125" s="1"/>
  <c r="A89" i="125" s="1"/>
  <c r="A90" i="125" s="1"/>
  <c r="A91" i="125" s="1"/>
  <c r="A7" i="125"/>
  <c r="F1" i="125"/>
  <c r="E1" i="125"/>
  <c r="D1" i="125"/>
  <c r="C1" i="125"/>
  <c r="B1" i="125"/>
  <c r="A8" i="124"/>
  <c r="A9" i="124" s="1"/>
  <c r="A10" i="124" s="1"/>
  <c r="A11" i="124" s="1"/>
  <c r="A12" i="124" s="1"/>
  <c r="A13" i="124" s="1"/>
  <c r="A14" i="124" s="1"/>
  <c r="A15" i="124" s="1"/>
  <c r="A16" i="124" s="1"/>
  <c r="A17" i="124" s="1"/>
  <c r="A18" i="124" s="1"/>
  <c r="A19" i="124" s="1"/>
  <c r="A20" i="124" s="1"/>
  <c r="A21" i="124" s="1"/>
  <c r="A22" i="124" s="1"/>
  <c r="A23" i="124" s="1"/>
  <c r="A24" i="124" s="1"/>
  <c r="A25" i="124" s="1"/>
  <c r="A26" i="124" s="1"/>
  <c r="A27" i="124" s="1"/>
  <c r="A28" i="124" s="1"/>
  <c r="A29" i="124" s="1"/>
  <c r="A30" i="124" s="1"/>
  <c r="A31" i="124" s="1"/>
  <c r="A32" i="124" s="1"/>
  <c r="A33" i="124" s="1"/>
  <c r="A34" i="124" s="1"/>
  <c r="A35" i="124" s="1"/>
  <c r="A36" i="124" s="1"/>
  <c r="A37" i="124" s="1"/>
  <c r="A38" i="124" s="1"/>
  <c r="A39" i="124" s="1"/>
  <c r="A40" i="124" s="1"/>
  <c r="A41" i="124" s="1"/>
  <c r="A42" i="124" s="1"/>
  <c r="A43" i="124" s="1"/>
  <c r="A44" i="124" s="1"/>
  <c r="A45" i="124" s="1"/>
  <c r="A46" i="124" s="1"/>
  <c r="A47" i="124" s="1"/>
  <c r="A48" i="124" s="1"/>
  <c r="A49" i="124" s="1"/>
  <c r="A50" i="124" s="1"/>
  <c r="A51" i="124" s="1"/>
  <c r="A52" i="124" s="1"/>
  <c r="A53" i="124" s="1"/>
  <c r="A54" i="124" s="1"/>
  <c r="A55" i="124" s="1"/>
  <c r="A56" i="124" s="1"/>
  <c r="A57" i="124" s="1"/>
  <c r="A58" i="124" s="1"/>
  <c r="A59" i="124" s="1"/>
  <c r="A60" i="124" s="1"/>
  <c r="A61" i="124" s="1"/>
  <c r="A62" i="124" s="1"/>
  <c r="A63" i="124" s="1"/>
  <c r="A64" i="124" s="1"/>
  <c r="A65" i="124" s="1"/>
  <c r="A66" i="124" s="1"/>
  <c r="A67" i="124" s="1"/>
  <c r="A68" i="124" s="1"/>
  <c r="A69" i="124" s="1"/>
  <c r="A70" i="124" s="1"/>
  <c r="A71" i="124" s="1"/>
  <c r="A72" i="124" s="1"/>
  <c r="A73" i="124" s="1"/>
  <c r="A74" i="124" s="1"/>
  <c r="A75" i="124" s="1"/>
  <c r="A76" i="124" s="1"/>
  <c r="A77" i="124" s="1"/>
  <c r="A78" i="124" s="1"/>
  <c r="A79" i="124" s="1"/>
  <c r="A80" i="124" s="1"/>
  <c r="A81" i="124" s="1"/>
  <c r="A82" i="124" s="1"/>
  <c r="A83" i="124" s="1"/>
  <c r="A84" i="124" s="1"/>
  <c r="A85" i="124" s="1"/>
  <c r="A86" i="124" s="1"/>
  <c r="A87" i="124" s="1"/>
  <c r="A88" i="124" s="1"/>
  <c r="A89" i="124" s="1"/>
  <c r="A90" i="124" s="1"/>
  <c r="A91" i="124" s="1"/>
  <c r="A7" i="124"/>
  <c r="F1" i="124"/>
  <c r="E1" i="124"/>
  <c r="D1" i="124"/>
  <c r="C1" i="124"/>
  <c r="B1" i="124"/>
  <c r="A8" i="123"/>
  <c r="A9" i="123" s="1"/>
  <c r="A10" i="123" s="1"/>
  <c r="A11" i="123" s="1"/>
  <c r="A12" i="123" s="1"/>
  <c r="A13" i="123" s="1"/>
  <c r="A14" i="123" s="1"/>
  <c r="A15" i="123" s="1"/>
  <c r="A16" i="123" s="1"/>
  <c r="A17" i="123" s="1"/>
  <c r="A18" i="123" s="1"/>
  <c r="A19" i="123" s="1"/>
  <c r="A20" i="123" s="1"/>
  <c r="A21" i="123" s="1"/>
  <c r="A22" i="123" s="1"/>
  <c r="A23" i="123" s="1"/>
  <c r="A24" i="123" s="1"/>
  <c r="A25" i="123" s="1"/>
  <c r="A26" i="123" s="1"/>
  <c r="A27" i="123" s="1"/>
  <c r="A28" i="123" s="1"/>
  <c r="A29" i="123" s="1"/>
  <c r="A30" i="123" s="1"/>
  <c r="A31" i="123" s="1"/>
  <c r="A32" i="123" s="1"/>
  <c r="A33" i="123" s="1"/>
  <c r="A34" i="123" s="1"/>
  <c r="A35" i="123" s="1"/>
  <c r="A36" i="123" s="1"/>
  <c r="A37" i="123" s="1"/>
  <c r="A38" i="123" s="1"/>
  <c r="A39" i="123" s="1"/>
  <c r="A40" i="123" s="1"/>
  <c r="A41" i="123" s="1"/>
  <c r="A42" i="123" s="1"/>
  <c r="A43" i="123" s="1"/>
  <c r="A44" i="123" s="1"/>
  <c r="A45" i="123" s="1"/>
  <c r="A46" i="123" s="1"/>
  <c r="A47" i="123" s="1"/>
  <c r="A48" i="123" s="1"/>
  <c r="A49" i="123" s="1"/>
  <c r="A50" i="123" s="1"/>
  <c r="A51" i="123" s="1"/>
  <c r="A52" i="123" s="1"/>
  <c r="A53" i="123" s="1"/>
  <c r="A54" i="123" s="1"/>
  <c r="A55" i="123" s="1"/>
  <c r="A56" i="123" s="1"/>
  <c r="A57" i="123" s="1"/>
  <c r="A58" i="123" s="1"/>
  <c r="A59" i="123" s="1"/>
  <c r="A60" i="123" s="1"/>
  <c r="A61" i="123" s="1"/>
  <c r="A62" i="123" s="1"/>
  <c r="A63" i="123" s="1"/>
  <c r="A64" i="123" s="1"/>
  <c r="A65" i="123" s="1"/>
  <c r="A66" i="123" s="1"/>
  <c r="A67" i="123" s="1"/>
  <c r="A68" i="123" s="1"/>
  <c r="A69" i="123" s="1"/>
  <c r="A70" i="123" s="1"/>
  <c r="A71" i="123" s="1"/>
  <c r="A72" i="123" s="1"/>
  <c r="A73" i="123" s="1"/>
  <c r="A74" i="123" s="1"/>
  <c r="A75" i="123" s="1"/>
  <c r="A76" i="123" s="1"/>
  <c r="A77" i="123" s="1"/>
  <c r="A78" i="123" s="1"/>
  <c r="A79" i="123" s="1"/>
  <c r="A80" i="123" s="1"/>
  <c r="A81" i="123" s="1"/>
  <c r="A82" i="123" s="1"/>
  <c r="A83" i="123" s="1"/>
  <c r="A84" i="123" s="1"/>
  <c r="A85" i="123" s="1"/>
  <c r="A86" i="123" s="1"/>
  <c r="A87" i="123" s="1"/>
  <c r="A88" i="123" s="1"/>
  <c r="A89" i="123" s="1"/>
  <c r="A90" i="123" s="1"/>
  <c r="A91" i="123" s="1"/>
  <c r="A7" i="123"/>
  <c r="F1" i="123"/>
  <c r="E1" i="123"/>
  <c r="D1" i="123"/>
  <c r="C1" i="123"/>
  <c r="B1" i="123"/>
  <c r="A8" i="122"/>
  <c r="A9" i="122" s="1"/>
  <c r="A10" i="122" s="1"/>
  <c r="A11" i="122" s="1"/>
  <c r="A12" i="122" s="1"/>
  <c r="A13" i="122" s="1"/>
  <c r="A14" i="122" s="1"/>
  <c r="A15" i="122" s="1"/>
  <c r="A16" i="122" s="1"/>
  <c r="A17" i="122" s="1"/>
  <c r="A18" i="122" s="1"/>
  <c r="A19" i="122" s="1"/>
  <c r="A20" i="122" s="1"/>
  <c r="A21" i="122" s="1"/>
  <c r="A22" i="122" s="1"/>
  <c r="A23" i="122" s="1"/>
  <c r="A24" i="122" s="1"/>
  <c r="A25" i="122" s="1"/>
  <c r="A26" i="122" s="1"/>
  <c r="A27" i="122" s="1"/>
  <c r="A28" i="122" s="1"/>
  <c r="A29" i="122" s="1"/>
  <c r="A30" i="122" s="1"/>
  <c r="A31" i="122" s="1"/>
  <c r="A32" i="122" s="1"/>
  <c r="A33" i="122" s="1"/>
  <c r="A34" i="122" s="1"/>
  <c r="A35" i="122" s="1"/>
  <c r="A36" i="122" s="1"/>
  <c r="A37" i="122" s="1"/>
  <c r="A38" i="122" s="1"/>
  <c r="A39" i="122" s="1"/>
  <c r="A40" i="122" s="1"/>
  <c r="A41" i="122" s="1"/>
  <c r="A42" i="122" s="1"/>
  <c r="A43" i="122" s="1"/>
  <c r="A44" i="122" s="1"/>
  <c r="A45" i="122" s="1"/>
  <c r="A46" i="122" s="1"/>
  <c r="A47" i="122" s="1"/>
  <c r="A48" i="122" s="1"/>
  <c r="A49" i="122" s="1"/>
  <c r="A50" i="122" s="1"/>
  <c r="A51" i="122" s="1"/>
  <c r="A52" i="122" s="1"/>
  <c r="A53" i="122" s="1"/>
  <c r="A54" i="122" s="1"/>
  <c r="A55" i="122" s="1"/>
  <c r="A56" i="122" s="1"/>
  <c r="A57" i="122" s="1"/>
  <c r="A58" i="122" s="1"/>
  <c r="A59" i="122" s="1"/>
  <c r="A60" i="122" s="1"/>
  <c r="A61" i="122" s="1"/>
  <c r="A62" i="122" s="1"/>
  <c r="A63" i="122" s="1"/>
  <c r="A64" i="122" s="1"/>
  <c r="A65" i="122" s="1"/>
  <c r="A66" i="122" s="1"/>
  <c r="A67" i="122" s="1"/>
  <c r="A68" i="122" s="1"/>
  <c r="A69" i="122" s="1"/>
  <c r="A70" i="122" s="1"/>
  <c r="A71" i="122" s="1"/>
  <c r="A72" i="122" s="1"/>
  <c r="A73" i="122" s="1"/>
  <c r="A74" i="122" s="1"/>
  <c r="A75" i="122" s="1"/>
  <c r="A76" i="122" s="1"/>
  <c r="A77" i="122" s="1"/>
  <c r="A78" i="122" s="1"/>
  <c r="A79" i="122" s="1"/>
  <c r="A80" i="122" s="1"/>
  <c r="A81" i="122" s="1"/>
  <c r="A82" i="122" s="1"/>
  <c r="A83" i="122" s="1"/>
  <c r="A84" i="122" s="1"/>
  <c r="A85" i="122" s="1"/>
  <c r="A86" i="122" s="1"/>
  <c r="A87" i="122" s="1"/>
  <c r="A88" i="122" s="1"/>
  <c r="A89" i="122" s="1"/>
  <c r="A90" i="122" s="1"/>
  <c r="A91" i="122" s="1"/>
  <c r="A7" i="122"/>
  <c r="F1" i="122"/>
  <c r="E1" i="122"/>
  <c r="D1" i="122"/>
  <c r="C1" i="122"/>
  <c r="B1" i="122"/>
  <c r="A8" i="121"/>
  <c r="A9" i="121" s="1"/>
  <c r="A10" i="121" s="1"/>
  <c r="A11" i="121" s="1"/>
  <c r="A12" i="121" s="1"/>
  <c r="A13" i="121" s="1"/>
  <c r="A14" i="121" s="1"/>
  <c r="A15" i="121" s="1"/>
  <c r="A16" i="121" s="1"/>
  <c r="A17" i="121" s="1"/>
  <c r="A18" i="121" s="1"/>
  <c r="A19" i="121" s="1"/>
  <c r="A20" i="121" s="1"/>
  <c r="A21" i="121" s="1"/>
  <c r="A22" i="121" s="1"/>
  <c r="A23" i="121" s="1"/>
  <c r="A24" i="121" s="1"/>
  <c r="A25" i="121" s="1"/>
  <c r="A26" i="121" s="1"/>
  <c r="A27" i="121" s="1"/>
  <c r="A28" i="121" s="1"/>
  <c r="A29" i="121" s="1"/>
  <c r="A30" i="121" s="1"/>
  <c r="A31" i="121" s="1"/>
  <c r="A32" i="121" s="1"/>
  <c r="A33" i="121" s="1"/>
  <c r="A34" i="121" s="1"/>
  <c r="A35" i="121" s="1"/>
  <c r="A36" i="121" s="1"/>
  <c r="A37" i="121" s="1"/>
  <c r="A38" i="121" s="1"/>
  <c r="A39" i="121" s="1"/>
  <c r="A40" i="121" s="1"/>
  <c r="A41" i="121" s="1"/>
  <c r="A42" i="121" s="1"/>
  <c r="A43" i="121" s="1"/>
  <c r="A44" i="121" s="1"/>
  <c r="A45" i="121" s="1"/>
  <c r="A46" i="121" s="1"/>
  <c r="A47" i="121" s="1"/>
  <c r="A48" i="121" s="1"/>
  <c r="A49" i="121" s="1"/>
  <c r="A50" i="121" s="1"/>
  <c r="A51" i="121" s="1"/>
  <c r="A52" i="121" s="1"/>
  <c r="A53" i="121" s="1"/>
  <c r="A54" i="121" s="1"/>
  <c r="A55" i="121" s="1"/>
  <c r="A56" i="121" s="1"/>
  <c r="A57" i="121" s="1"/>
  <c r="A58" i="121" s="1"/>
  <c r="A59" i="121" s="1"/>
  <c r="A60" i="121" s="1"/>
  <c r="A61" i="121" s="1"/>
  <c r="A62" i="121" s="1"/>
  <c r="A63" i="121" s="1"/>
  <c r="A64" i="121" s="1"/>
  <c r="A65" i="121" s="1"/>
  <c r="A66" i="121" s="1"/>
  <c r="A67" i="121" s="1"/>
  <c r="A68" i="121" s="1"/>
  <c r="A69" i="121" s="1"/>
  <c r="A70" i="121" s="1"/>
  <c r="A71" i="121" s="1"/>
  <c r="A72" i="121" s="1"/>
  <c r="A73" i="121" s="1"/>
  <c r="A74" i="121" s="1"/>
  <c r="A75" i="121" s="1"/>
  <c r="A76" i="121" s="1"/>
  <c r="A77" i="121" s="1"/>
  <c r="A78" i="121" s="1"/>
  <c r="A79" i="121" s="1"/>
  <c r="A80" i="121" s="1"/>
  <c r="A81" i="121" s="1"/>
  <c r="A82" i="121" s="1"/>
  <c r="A83" i="121" s="1"/>
  <c r="A84" i="121" s="1"/>
  <c r="A85" i="121" s="1"/>
  <c r="A86" i="121" s="1"/>
  <c r="A87" i="121" s="1"/>
  <c r="A88" i="121" s="1"/>
  <c r="A89" i="121" s="1"/>
  <c r="A90" i="121" s="1"/>
  <c r="A91" i="121" s="1"/>
  <c r="A7" i="121"/>
  <c r="F1" i="121"/>
  <c r="E1" i="121"/>
  <c r="D1" i="121"/>
  <c r="C1" i="121"/>
  <c r="B1" i="121"/>
  <c r="A8" i="120"/>
  <c r="A9" i="120" s="1"/>
  <c r="A10" i="120" s="1"/>
  <c r="A11" i="120" s="1"/>
  <c r="A12" i="120" s="1"/>
  <c r="A13" i="120" s="1"/>
  <c r="A14" i="120" s="1"/>
  <c r="A15" i="120" s="1"/>
  <c r="A16" i="120" s="1"/>
  <c r="A17" i="120" s="1"/>
  <c r="A18" i="120" s="1"/>
  <c r="A19" i="120" s="1"/>
  <c r="A20" i="120" s="1"/>
  <c r="A21" i="120" s="1"/>
  <c r="A22" i="120" s="1"/>
  <c r="A23" i="120" s="1"/>
  <c r="A24" i="120" s="1"/>
  <c r="A25" i="120" s="1"/>
  <c r="A26" i="120" s="1"/>
  <c r="A27" i="120" s="1"/>
  <c r="A28" i="120" s="1"/>
  <c r="A29" i="120" s="1"/>
  <c r="A30" i="120" s="1"/>
  <c r="A31" i="120" s="1"/>
  <c r="A32" i="120" s="1"/>
  <c r="A33" i="120" s="1"/>
  <c r="A34" i="120" s="1"/>
  <c r="A35" i="120" s="1"/>
  <c r="A36" i="120" s="1"/>
  <c r="A37" i="120" s="1"/>
  <c r="A38" i="120" s="1"/>
  <c r="A39" i="120" s="1"/>
  <c r="A40" i="120" s="1"/>
  <c r="A41" i="120" s="1"/>
  <c r="A42" i="120" s="1"/>
  <c r="A43" i="120" s="1"/>
  <c r="A44" i="120" s="1"/>
  <c r="A45" i="120" s="1"/>
  <c r="A46" i="120" s="1"/>
  <c r="A47" i="120" s="1"/>
  <c r="A48" i="120" s="1"/>
  <c r="A49" i="120" s="1"/>
  <c r="A50" i="120" s="1"/>
  <c r="A51" i="120" s="1"/>
  <c r="A52" i="120" s="1"/>
  <c r="A53" i="120" s="1"/>
  <c r="A54" i="120" s="1"/>
  <c r="A55" i="120" s="1"/>
  <c r="A56" i="120" s="1"/>
  <c r="A57" i="120" s="1"/>
  <c r="A58" i="120" s="1"/>
  <c r="A59" i="120" s="1"/>
  <c r="A60" i="120" s="1"/>
  <c r="A61" i="120" s="1"/>
  <c r="A62" i="120" s="1"/>
  <c r="A63" i="120" s="1"/>
  <c r="A64" i="120" s="1"/>
  <c r="A65" i="120" s="1"/>
  <c r="A66" i="120" s="1"/>
  <c r="A67" i="120" s="1"/>
  <c r="A68" i="120" s="1"/>
  <c r="A69" i="120" s="1"/>
  <c r="A70" i="120" s="1"/>
  <c r="A71" i="120" s="1"/>
  <c r="A72" i="120" s="1"/>
  <c r="A73" i="120" s="1"/>
  <c r="A74" i="120" s="1"/>
  <c r="A75" i="120" s="1"/>
  <c r="A76" i="120" s="1"/>
  <c r="A77" i="120" s="1"/>
  <c r="A78" i="120" s="1"/>
  <c r="A79" i="120" s="1"/>
  <c r="A80" i="120" s="1"/>
  <c r="A81" i="120" s="1"/>
  <c r="A82" i="120" s="1"/>
  <c r="A83" i="120" s="1"/>
  <c r="A84" i="120" s="1"/>
  <c r="A85" i="120" s="1"/>
  <c r="A86" i="120" s="1"/>
  <c r="A87" i="120" s="1"/>
  <c r="A88" i="120" s="1"/>
  <c r="A89" i="120" s="1"/>
  <c r="A90" i="120" s="1"/>
  <c r="A91" i="120" s="1"/>
  <c r="A7" i="120"/>
  <c r="F1" i="120"/>
  <c r="E1" i="120"/>
  <c r="D1" i="120"/>
  <c r="C1" i="120"/>
  <c r="B1" i="120"/>
  <c r="A8" i="119"/>
  <c r="A9" i="119" s="1"/>
  <c r="A10" i="119" s="1"/>
  <c r="A11" i="119" s="1"/>
  <c r="A12" i="119" s="1"/>
  <c r="A13" i="119" s="1"/>
  <c r="A14" i="119" s="1"/>
  <c r="A15" i="119" s="1"/>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A59" i="119" s="1"/>
  <c r="A60" i="119" s="1"/>
  <c r="A61" i="119" s="1"/>
  <c r="A62" i="119" s="1"/>
  <c r="A63" i="119" s="1"/>
  <c r="A64" i="119" s="1"/>
  <c r="A65" i="119" s="1"/>
  <c r="A66" i="119" s="1"/>
  <c r="A67" i="119" s="1"/>
  <c r="A68" i="119" s="1"/>
  <c r="A69" i="119" s="1"/>
  <c r="A70" i="119" s="1"/>
  <c r="A71" i="119" s="1"/>
  <c r="A72" i="119" s="1"/>
  <c r="A73" i="119" s="1"/>
  <c r="A74" i="119" s="1"/>
  <c r="A75" i="119" s="1"/>
  <c r="A76" i="119" s="1"/>
  <c r="A77" i="119" s="1"/>
  <c r="A78" i="119" s="1"/>
  <c r="A79" i="119" s="1"/>
  <c r="A80" i="119" s="1"/>
  <c r="A81" i="119" s="1"/>
  <c r="A82" i="119" s="1"/>
  <c r="A83" i="119" s="1"/>
  <c r="A84" i="119" s="1"/>
  <c r="A85" i="119" s="1"/>
  <c r="A86" i="119" s="1"/>
  <c r="A87" i="119" s="1"/>
  <c r="A88" i="119" s="1"/>
  <c r="A89" i="119" s="1"/>
  <c r="A90" i="119" s="1"/>
  <c r="A91" i="119" s="1"/>
  <c r="A7" i="119"/>
  <c r="F1" i="119"/>
  <c r="E1" i="119"/>
  <c r="D1" i="119"/>
  <c r="C1" i="119"/>
  <c r="B1" i="119"/>
  <c r="A8" i="118"/>
  <c r="A9" i="118" s="1"/>
  <c r="A10" i="118" s="1"/>
  <c r="A11" i="118" s="1"/>
  <c r="A12" i="118" s="1"/>
  <c r="A13" i="118" s="1"/>
  <c r="A14" i="118" s="1"/>
  <c r="A15" i="118" s="1"/>
  <c r="A16" i="118" s="1"/>
  <c r="A17" i="118" s="1"/>
  <c r="A18" i="118" s="1"/>
  <c r="A19" i="118" s="1"/>
  <c r="A20" i="118" s="1"/>
  <c r="A21" i="118" s="1"/>
  <c r="A22" i="118" s="1"/>
  <c r="A23" i="118" s="1"/>
  <c r="A24" i="118" s="1"/>
  <c r="A25" i="118" s="1"/>
  <c r="A26" i="118" s="1"/>
  <c r="A27" i="118" s="1"/>
  <c r="A28" i="118" s="1"/>
  <c r="A29" i="118" s="1"/>
  <c r="A30" i="118" s="1"/>
  <c r="A31" i="118" s="1"/>
  <c r="A32" i="118" s="1"/>
  <c r="A33" i="118" s="1"/>
  <c r="A34" i="118" s="1"/>
  <c r="A35" i="118" s="1"/>
  <c r="A36" i="118" s="1"/>
  <c r="A37" i="118" s="1"/>
  <c r="A38" i="118" s="1"/>
  <c r="A39" i="118" s="1"/>
  <c r="A40" i="118" s="1"/>
  <c r="A41" i="118" s="1"/>
  <c r="A42" i="118" s="1"/>
  <c r="A43" i="118" s="1"/>
  <c r="A44" i="118" s="1"/>
  <c r="A45" i="118" s="1"/>
  <c r="A46" i="118" s="1"/>
  <c r="A47" i="118" s="1"/>
  <c r="A48" i="118" s="1"/>
  <c r="A49" i="118" s="1"/>
  <c r="A50" i="118" s="1"/>
  <c r="A51" i="118" s="1"/>
  <c r="A52" i="118" s="1"/>
  <c r="A53" i="118" s="1"/>
  <c r="A54" i="118" s="1"/>
  <c r="A55" i="118" s="1"/>
  <c r="A56" i="118" s="1"/>
  <c r="A57" i="118" s="1"/>
  <c r="A58" i="118" s="1"/>
  <c r="A59" i="118" s="1"/>
  <c r="A60" i="118" s="1"/>
  <c r="A61" i="118" s="1"/>
  <c r="A62" i="118" s="1"/>
  <c r="A63" i="118" s="1"/>
  <c r="A64" i="118" s="1"/>
  <c r="A65" i="118" s="1"/>
  <c r="A66" i="118" s="1"/>
  <c r="A67" i="118" s="1"/>
  <c r="A68" i="118" s="1"/>
  <c r="A69" i="118" s="1"/>
  <c r="A70" i="118" s="1"/>
  <c r="A71" i="118" s="1"/>
  <c r="A72" i="118" s="1"/>
  <c r="A73" i="118" s="1"/>
  <c r="A74" i="118" s="1"/>
  <c r="A75" i="118" s="1"/>
  <c r="A76" i="118" s="1"/>
  <c r="A77" i="118" s="1"/>
  <c r="A78" i="118" s="1"/>
  <c r="A79" i="118" s="1"/>
  <c r="A80" i="118" s="1"/>
  <c r="A81" i="118" s="1"/>
  <c r="A82" i="118" s="1"/>
  <c r="A83" i="118" s="1"/>
  <c r="A84" i="118" s="1"/>
  <c r="A85" i="118" s="1"/>
  <c r="A86" i="118" s="1"/>
  <c r="A87" i="118" s="1"/>
  <c r="A88" i="118" s="1"/>
  <c r="A89" i="118" s="1"/>
  <c r="A90" i="118" s="1"/>
  <c r="A91" i="118" s="1"/>
  <c r="A7" i="118"/>
  <c r="F1" i="118"/>
  <c r="E1" i="118"/>
  <c r="D1" i="118"/>
  <c r="C1" i="118"/>
  <c r="B1" i="118"/>
  <c r="A8" i="117"/>
  <c r="A9" i="117" s="1"/>
  <c r="A10" i="117" s="1"/>
  <c r="A11" i="117" s="1"/>
  <c r="A12" i="117" s="1"/>
  <c r="A13" i="117" s="1"/>
  <c r="A14" i="117" s="1"/>
  <c r="A15" i="117" s="1"/>
  <c r="A16" i="117" s="1"/>
  <c r="A17" i="117" s="1"/>
  <c r="A18" i="117" s="1"/>
  <c r="A19" i="117" s="1"/>
  <c r="A20" i="117" s="1"/>
  <c r="A21" i="117" s="1"/>
  <c r="A22" i="117" s="1"/>
  <c r="A23" i="117" s="1"/>
  <c r="A24" i="117" s="1"/>
  <c r="A25" i="117" s="1"/>
  <c r="A26" i="117" s="1"/>
  <c r="A27" i="117" s="1"/>
  <c r="A28" i="117" s="1"/>
  <c r="A29" i="117" s="1"/>
  <c r="A30" i="117" s="1"/>
  <c r="A31" i="117" s="1"/>
  <c r="A32" i="117" s="1"/>
  <c r="A33" i="117" s="1"/>
  <c r="A34" i="117" s="1"/>
  <c r="A35" i="117" s="1"/>
  <c r="A36" i="117" s="1"/>
  <c r="A37" i="117" s="1"/>
  <c r="A38" i="117" s="1"/>
  <c r="A39" i="117" s="1"/>
  <c r="A40" i="117" s="1"/>
  <c r="A41" i="117" s="1"/>
  <c r="A42" i="117" s="1"/>
  <c r="A43" i="117" s="1"/>
  <c r="A44" i="117" s="1"/>
  <c r="A45" i="117" s="1"/>
  <c r="A46" i="117" s="1"/>
  <c r="A47" i="117" s="1"/>
  <c r="A48" i="117" s="1"/>
  <c r="A49" i="117" s="1"/>
  <c r="A50" i="117" s="1"/>
  <c r="A51" i="117" s="1"/>
  <c r="A52" i="117" s="1"/>
  <c r="A53" i="117" s="1"/>
  <c r="A54" i="117" s="1"/>
  <c r="A55" i="117" s="1"/>
  <c r="A56" i="117" s="1"/>
  <c r="A57" i="117" s="1"/>
  <c r="A58" i="117" s="1"/>
  <c r="A59" i="117" s="1"/>
  <c r="A60" i="117" s="1"/>
  <c r="A61" i="117" s="1"/>
  <c r="A62" i="117" s="1"/>
  <c r="A63" i="117" s="1"/>
  <c r="A64" i="117" s="1"/>
  <c r="A65" i="117" s="1"/>
  <c r="A66" i="117" s="1"/>
  <c r="A67" i="117" s="1"/>
  <c r="A68" i="117" s="1"/>
  <c r="A69" i="117" s="1"/>
  <c r="A70" i="117" s="1"/>
  <c r="A71" i="117" s="1"/>
  <c r="A72" i="117" s="1"/>
  <c r="A73" i="117" s="1"/>
  <c r="A74" i="117" s="1"/>
  <c r="A75" i="117" s="1"/>
  <c r="A76" i="117" s="1"/>
  <c r="A77" i="117" s="1"/>
  <c r="A78" i="117" s="1"/>
  <c r="A79" i="117" s="1"/>
  <c r="A80" i="117" s="1"/>
  <c r="A81" i="117" s="1"/>
  <c r="A82" i="117" s="1"/>
  <c r="A83" i="117" s="1"/>
  <c r="A84" i="117" s="1"/>
  <c r="A85" i="117" s="1"/>
  <c r="A86" i="117" s="1"/>
  <c r="A87" i="117" s="1"/>
  <c r="A88" i="117" s="1"/>
  <c r="A89" i="117" s="1"/>
  <c r="A90" i="117" s="1"/>
  <c r="A91" i="117" s="1"/>
  <c r="A7" i="117"/>
  <c r="F1" i="117"/>
  <c r="E1" i="117"/>
  <c r="D1" i="117"/>
  <c r="C1" i="117"/>
  <c r="B1" i="117"/>
  <c r="A8" i="116"/>
  <c r="A9" i="116" s="1"/>
  <c r="A10" i="116" s="1"/>
  <c r="A11" i="116" s="1"/>
  <c r="A12" i="116" s="1"/>
  <c r="A13" i="116" s="1"/>
  <c r="A14" i="116" s="1"/>
  <c r="A15" i="116" s="1"/>
  <c r="A16" i="116" s="1"/>
  <c r="A17" i="116" s="1"/>
  <c r="A18" i="116" s="1"/>
  <c r="A19" i="116" s="1"/>
  <c r="A20" i="116" s="1"/>
  <c r="A21" i="116" s="1"/>
  <c r="A22" i="116" s="1"/>
  <c r="A23" i="116" s="1"/>
  <c r="A24" i="116" s="1"/>
  <c r="A25" i="116" s="1"/>
  <c r="A26" i="116" s="1"/>
  <c r="A27" i="116" s="1"/>
  <c r="A28" i="116" s="1"/>
  <c r="A29" i="116" s="1"/>
  <c r="A30" i="116" s="1"/>
  <c r="A31" i="116" s="1"/>
  <c r="A32" i="116" s="1"/>
  <c r="A33" i="116" s="1"/>
  <c r="A34" i="116" s="1"/>
  <c r="A35" i="116" s="1"/>
  <c r="A36" i="116" s="1"/>
  <c r="A37" i="116" s="1"/>
  <c r="A38" i="116" s="1"/>
  <c r="A39" i="116" s="1"/>
  <c r="A40" i="116" s="1"/>
  <c r="A41" i="116" s="1"/>
  <c r="A42" i="116" s="1"/>
  <c r="A43" i="116" s="1"/>
  <c r="A44" i="116" s="1"/>
  <c r="A45" i="116" s="1"/>
  <c r="A46" i="116" s="1"/>
  <c r="A47" i="116" s="1"/>
  <c r="A48" i="116" s="1"/>
  <c r="A49" i="116" s="1"/>
  <c r="A50" i="116" s="1"/>
  <c r="A51" i="116" s="1"/>
  <c r="A52" i="116" s="1"/>
  <c r="A53" i="116" s="1"/>
  <c r="A54" i="116" s="1"/>
  <c r="A55" i="116" s="1"/>
  <c r="A56" i="116" s="1"/>
  <c r="A57" i="116" s="1"/>
  <c r="A58" i="116" s="1"/>
  <c r="A59" i="116" s="1"/>
  <c r="A60" i="116" s="1"/>
  <c r="A61" i="116" s="1"/>
  <c r="A62" i="116" s="1"/>
  <c r="A63" i="116" s="1"/>
  <c r="A64" i="116" s="1"/>
  <c r="A65" i="116" s="1"/>
  <c r="A66" i="116" s="1"/>
  <c r="A67" i="116" s="1"/>
  <c r="A68" i="116" s="1"/>
  <c r="A69" i="116" s="1"/>
  <c r="A70" i="116" s="1"/>
  <c r="A71" i="116" s="1"/>
  <c r="A72" i="116" s="1"/>
  <c r="A73" i="116" s="1"/>
  <c r="A74" i="116" s="1"/>
  <c r="A75" i="116" s="1"/>
  <c r="A76" i="116" s="1"/>
  <c r="A77" i="116" s="1"/>
  <c r="A78" i="116" s="1"/>
  <c r="A79" i="116" s="1"/>
  <c r="A80" i="116" s="1"/>
  <c r="A81" i="116" s="1"/>
  <c r="A82" i="116" s="1"/>
  <c r="A83" i="116" s="1"/>
  <c r="A84" i="116" s="1"/>
  <c r="A85" i="116" s="1"/>
  <c r="A86" i="116" s="1"/>
  <c r="A87" i="116" s="1"/>
  <c r="A88" i="116" s="1"/>
  <c r="A89" i="116" s="1"/>
  <c r="A90" i="116" s="1"/>
  <c r="A91" i="116" s="1"/>
  <c r="A7" i="116"/>
  <c r="F1" i="116"/>
  <c r="E1" i="116"/>
  <c r="D1" i="116"/>
  <c r="C1" i="116"/>
  <c r="B1" i="116"/>
  <c r="A8" i="115"/>
  <c r="A9" i="115" s="1"/>
  <c r="A10" i="115" s="1"/>
  <c r="A11" i="115" s="1"/>
  <c r="A12" i="115" s="1"/>
  <c r="A13" i="115" s="1"/>
  <c r="A14" i="115" s="1"/>
  <c r="A15" i="115" s="1"/>
  <c r="A16" i="115" s="1"/>
  <c r="A17" i="115" s="1"/>
  <c r="A18" i="115" s="1"/>
  <c r="A19" i="115" s="1"/>
  <c r="A20" i="115" s="1"/>
  <c r="A21" i="115" s="1"/>
  <c r="A22" i="115" s="1"/>
  <c r="A23" i="115" s="1"/>
  <c r="A24" i="115" s="1"/>
  <c r="A25" i="115" s="1"/>
  <c r="A26" i="115" s="1"/>
  <c r="A27" i="115" s="1"/>
  <c r="A28" i="115" s="1"/>
  <c r="A29" i="115" s="1"/>
  <c r="A30" i="115" s="1"/>
  <c r="A31" i="115" s="1"/>
  <c r="A32" i="115" s="1"/>
  <c r="A33" i="115" s="1"/>
  <c r="A34" i="115" s="1"/>
  <c r="A35" i="115" s="1"/>
  <c r="A36" i="115" s="1"/>
  <c r="A37" i="115" s="1"/>
  <c r="A38" i="115" s="1"/>
  <c r="A39" i="115" s="1"/>
  <c r="A40" i="115" s="1"/>
  <c r="A41" i="115" s="1"/>
  <c r="A42" i="115" s="1"/>
  <c r="A43" i="115" s="1"/>
  <c r="A44" i="115" s="1"/>
  <c r="A45" i="115" s="1"/>
  <c r="A46" i="115" s="1"/>
  <c r="A47" i="115" s="1"/>
  <c r="A48" i="115" s="1"/>
  <c r="A49" i="115" s="1"/>
  <c r="A50" i="115" s="1"/>
  <c r="A51" i="115" s="1"/>
  <c r="A52" i="115" s="1"/>
  <c r="A53" i="115" s="1"/>
  <c r="A54" i="115" s="1"/>
  <c r="A55" i="115" s="1"/>
  <c r="A56" i="115" s="1"/>
  <c r="A57" i="115" s="1"/>
  <c r="A58" i="115" s="1"/>
  <c r="A59" i="115" s="1"/>
  <c r="A60" i="115" s="1"/>
  <c r="A61" i="115" s="1"/>
  <c r="A62" i="115" s="1"/>
  <c r="A63" i="115" s="1"/>
  <c r="A64" i="115" s="1"/>
  <c r="A65" i="115" s="1"/>
  <c r="A66" i="115" s="1"/>
  <c r="A67" i="115" s="1"/>
  <c r="A68" i="115" s="1"/>
  <c r="A69" i="115" s="1"/>
  <c r="A70" i="115" s="1"/>
  <c r="A71" i="115" s="1"/>
  <c r="A72" i="115" s="1"/>
  <c r="A73" i="115" s="1"/>
  <c r="A74" i="115" s="1"/>
  <c r="A75" i="115" s="1"/>
  <c r="A76" i="115" s="1"/>
  <c r="A77" i="115" s="1"/>
  <c r="A78" i="115" s="1"/>
  <c r="A79" i="115" s="1"/>
  <c r="A80" i="115" s="1"/>
  <c r="A81" i="115" s="1"/>
  <c r="A82" i="115" s="1"/>
  <c r="A83" i="115" s="1"/>
  <c r="A84" i="115" s="1"/>
  <c r="A85" i="115" s="1"/>
  <c r="A86" i="115" s="1"/>
  <c r="A87" i="115" s="1"/>
  <c r="A88" i="115" s="1"/>
  <c r="A89" i="115" s="1"/>
  <c r="A90" i="115" s="1"/>
  <c r="A91" i="115" s="1"/>
  <c r="A7" i="115"/>
  <c r="F1" i="115"/>
  <c r="E1" i="115"/>
  <c r="D1" i="115"/>
  <c r="C1" i="115"/>
  <c r="B1" i="115"/>
  <c r="A8" i="114"/>
  <c r="A9" i="114" s="1"/>
  <c r="A10" i="114" s="1"/>
  <c r="A11" i="114" s="1"/>
  <c r="A12" i="114" s="1"/>
  <c r="A13" i="114" s="1"/>
  <c r="A14" i="114" s="1"/>
  <c r="A15" i="114" s="1"/>
  <c r="A16" i="114" s="1"/>
  <c r="A17" i="114" s="1"/>
  <c r="A18" i="114" s="1"/>
  <c r="A19" i="114" s="1"/>
  <c r="A20" i="114" s="1"/>
  <c r="A21" i="114" s="1"/>
  <c r="A22" i="114" s="1"/>
  <c r="A23" i="114" s="1"/>
  <c r="A24" i="114" s="1"/>
  <c r="A25" i="114" s="1"/>
  <c r="A26" i="114" s="1"/>
  <c r="A27" i="114" s="1"/>
  <c r="A28" i="114" s="1"/>
  <c r="A29" i="114" s="1"/>
  <c r="A30" i="114" s="1"/>
  <c r="A31" i="114" s="1"/>
  <c r="A32" i="114" s="1"/>
  <c r="A33" i="114" s="1"/>
  <c r="A34" i="114" s="1"/>
  <c r="A35" i="114" s="1"/>
  <c r="A36" i="114" s="1"/>
  <c r="A37" i="114" s="1"/>
  <c r="A38" i="114" s="1"/>
  <c r="A39" i="114" s="1"/>
  <c r="A40" i="114" s="1"/>
  <c r="A41" i="114" s="1"/>
  <c r="A42" i="114" s="1"/>
  <c r="A43" i="114" s="1"/>
  <c r="A44" i="114" s="1"/>
  <c r="A45" i="114" s="1"/>
  <c r="A46" i="114" s="1"/>
  <c r="A47" i="114" s="1"/>
  <c r="A48" i="114" s="1"/>
  <c r="A49" i="114" s="1"/>
  <c r="A50" i="114" s="1"/>
  <c r="A51" i="114" s="1"/>
  <c r="A52" i="114" s="1"/>
  <c r="A53" i="114" s="1"/>
  <c r="A54" i="114" s="1"/>
  <c r="A55" i="114" s="1"/>
  <c r="A56" i="114" s="1"/>
  <c r="A57" i="114" s="1"/>
  <c r="A58" i="114" s="1"/>
  <c r="A59" i="114" s="1"/>
  <c r="A60" i="114" s="1"/>
  <c r="A61" i="114" s="1"/>
  <c r="A62" i="114" s="1"/>
  <c r="A63" i="114" s="1"/>
  <c r="A64" i="114" s="1"/>
  <c r="A65" i="114" s="1"/>
  <c r="A66" i="114" s="1"/>
  <c r="A67" i="114" s="1"/>
  <c r="A68" i="114" s="1"/>
  <c r="A69" i="114" s="1"/>
  <c r="A70" i="114" s="1"/>
  <c r="A71" i="114" s="1"/>
  <c r="A72" i="114" s="1"/>
  <c r="A73" i="114" s="1"/>
  <c r="A74" i="114" s="1"/>
  <c r="A75" i="114" s="1"/>
  <c r="A76" i="114" s="1"/>
  <c r="A77" i="114" s="1"/>
  <c r="A78" i="114" s="1"/>
  <c r="A79" i="114" s="1"/>
  <c r="A80" i="114" s="1"/>
  <c r="A81" i="114" s="1"/>
  <c r="A82" i="114" s="1"/>
  <c r="A83" i="114" s="1"/>
  <c r="A84" i="114" s="1"/>
  <c r="A85" i="114" s="1"/>
  <c r="A86" i="114" s="1"/>
  <c r="A87" i="114" s="1"/>
  <c r="A88" i="114" s="1"/>
  <c r="A89" i="114" s="1"/>
  <c r="A90" i="114" s="1"/>
  <c r="A91" i="114" s="1"/>
  <c r="A7" i="114"/>
  <c r="F1" i="114"/>
  <c r="E1" i="114"/>
  <c r="D1" i="114"/>
  <c r="C1" i="114"/>
  <c r="B1" i="114"/>
  <c r="A8" i="113"/>
  <c r="A9" i="113" s="1"/>
  <c r="A10" i="113" s="1"/>
  <c r="A11" i="113" s="1"/>
  <c r="A12" i="113" s="1"/>
  <c r="A13" i="113" s="1"/>
  <c r="A14" i="113" s="1"/>
  <c r="A15" i="113" s="1"/>
  <c r="A16" i="113" s="1"/>
  <c r="A17" i="113" s="1"/>
  <c r="A18" i="113" s="1"/>
  <c r="A19" i="113" s="1"/>
  <c r="A20" i="113" s="1"/>
  <c r="A21" i="113" s="1"/>
  <c r="A22" i="113" s="1"/>
  <c r="A23" i="113" s="1"/>
  <c r="A24" i="113" s="1"/>
  <c r="A25" i="113" s="1"/>
  <c r="A26" i="113" s="1"/>
  <c r="A27" i="113" s="1"/>
  <c r="A28" i="113" s="1"/>
  <c r="A29" i="113" s="1"/>
  <c r="A30" i="113" s="1"/>
  <c r="A31" i="113" s="1"/>
  <c r="A32" i="113" s="1"/>
  <c r="A33" i="113" s="1"/>
  <c r="A34" i="113" s="1"/>
  <c r="A35" i="113" s="1"/>
  <c r="A36" i="113" s="1"/>
  <c r="A37" i="113" s="1"/>
  <c r="A38" i="113" s="1"/>
  <c r="A39" i="113" s="1"/>
  <c r="A40" i="113" s="1"/>
  <c r="A41" i="113" s="1"/>
  <c r="A42" i="113" s="1"/>
  <c r="A43" i="113" s="1"/>
  <c r="A44" i="113" s="1"/>
  <c r="A45" i="113" s="1"/>
  <c r="A46" i="113" s="1"/>
  <c r="A47" i="113" s="1"/>
  <c r="A48" i="113" s="1"/>
  <c r="A49" i="113" s="1"/>
  <c r="A50" i="113" s="1"/>
  <c r="A51" i="113" s="1"/>
  <c r="A52" i="113" s="1"/>
  <c r="A53" i="113" s="1"/>
  <c r="A54" i="113" s="1"/>
  <c r="A55" i="113" s="1"/>
  <c r="A56" i="113" s="1"/>
  <c r="A57" i="113" s="1"/>
  <c r="A58" i="113" s="1"/>
  <c r="A59" i="113" s="1"/>
  <c r="A60" i="113" s="1"/>
  <c r="A61" i="113" s="1"/>
  <c r="A62" i="113" s="1"/>
  <c r="A63" i="113" s="1"/>
  <c r="A64" i="113" s="1"/>
  <c r="A65" i="113" s="1"/>
  <c r="A66" i="113" s="1"/>
  <c r="A67" i="113" s="1"/>
  <c r="A68" i="113" s="1"/>
  <c r="A69" i="113" s="1"/>
  <c r="A70" i="113" s="1"/>
  <c r="A71" i="113" s="1"/>
  <c r="A72" i="113" s="1"/>
  <c r="A73" i="113" s="1"/>
  <c r="A74" i="113" s="1"/>
  <c r="A75" i="113" s="1"/>
  <c r="A76" i="113" s="1"/>
  <c r="A77" i="113" s="1"/>
  <c r="A78" i="113" s="1"/>
  <c r="A79" i="113" s="1"/>
  <c r="A80" i="113" s="1"/>
  <c r="A81" i="113" s="1"/>
  <c r="A82" i="113" s="1"/>
  <c r="A83" i="113" s="1"/>
  <c r="A84" i="113" s="1"/>
  <c r="A85" i="113" s="1"/>
  <c r="A86" i="113" s="1"/>
  <c r="A87" i="113" s="1"/>
  <c r="A88" i="113" s="1"/>
  <c r="A89" i="113" s="1"/>
  <c r="A90" i="113" s="1"/>
  <c r="A91" i="113" s="1"/>
  <c r="A7" i="113"/>
  <c r="F1" i="113"/>
  <c r="E1" i="113"/>
  <c r="D1" i="113"/>
  <c r="C1" i="113"/>
  <c r="B1" i="113"/>
  <c r="A8" i="112"/>
  <c r="A9" i="112" s="1"/>
  <c r="A10" i="112" s="1"/>
  <c r="A11" i="112" s="1"/>
  <c r="A12" i="112" s="1"/>
  <c r="A13" i="112" s="1"/>
  <c r="A14" i="112" s="1"/>
  <c r="A15" i="112" s="1"/>
  <c r="A16" i="112" s="1"/>
  <c r="A17" i="112" s="1"/>
  <c r="A18" i="112" s="1"/>
  <c r="A19" i="112" s="1"/>
  <c r="A20" i="112" s="1"/>
  <c r="A21" i="112" s="1"/>
  <c r="A22" i="112" s="1"/>
  <c r="A23" i="112" s="1"/>
  <c r="A24" i="112" s="1"/>
  <c r="A25" i="112" s="1"/>
  <c r="A26" i="112" s="1"/>
  <c r="A27" i="112" s="1"/>
  <c r="A28" i="112" s="1"/>
  <c r="A29" i="112" s="1"/>
  <c r="A30" i="112" s="1"/>
  <c r="A31" i="112" s="1"/>
  <c r="A32" i="112" s="1"/>
  <c r="A33" i="112" s="1"/>
  <c r="A34" i="112" s="1"/>
  <c r="A35" i="112" s="1"/>
  <c r="A36" i="112" s="1"/>
  <c r="A37" i="112" s="1"/>
  <c r="A38" i="112" s="1"/>
  <c r="A39" i="112" s="1"/>
  <c r="A40" i="112" s="1"/>
  <c r="A41" i="112" s="1"/>
  <c r="A42" i="112" s="1"/>
  <c r="A43" i="112" s="1"/>
  <c r="A44" i="112" s="1"/>
  <c r="A45" i="112" s="1"/>
  <c r="A46" i="112" s="1"/>
  <c r="A47" i="112" s="1"/>
  <c r="A48" i="112" s="1"/>
  <c r="A49" i="112" s="1"/>
  <c r="A50" i="112" s="1"/>
  <c r="A51" i="112" s="1"/>
  <c r="A52" i="112" s="1"/>
  <c r="A53" i="112" s="1"/>
  <c r="A54" i="112" s="1"/>
  <c r="A55" i="112" s="1"/>
  <c r="A56" i="112" s="1"/>
  <c r="A57" i="112" s="1"/>
  <c r="A58" i="112" s="1"/>
  <c r="A59" i="112" s="1"/>
  <c r="A60" i="112" s="1"/>
  <c r="A61" i="112" s="1"/>
  <c r="A62" i="112" s="1"/>
  <c r="A63" i="112" s="1"/>
  <c r="A64" i="112" s="1"/>
  <c r="A65" i="112" s="1"/>
  <c r="A66" i="112" s="1"/>
  <c r="A67" i="112" s="1"/>
  <c r="A68" i="112" s="1"/>
  <c r="A69" i="112" s="1"/>
  <c r="A70" i="112" s="1"/>
  <c r="A71" i="112" s="1"/>
  <c r="A72" i="112" s="1"/>
  <c r="A73" i="112" s="1"/>
  <c r="A74" i="112" s="1"/>
  <c r="A75" i="112" s="1"/>
  <c r="A76" i="112" s="1"/>
  <c r="A77" i="112" s="1"/>
  <c r="A78" i="112" s="1"/>
  <c r="A79" i="112" s="1"/>
  <c r="A80" i="112" s="1"/>
  <c r="A81" i="112" s="1"/>
  <c r="A82" i="112" s="1"/>
  <c r="A83" i="112" s="1"/>
  <c r="A84" i="112" s="1"/>
  <c r="A85" i="112" s="1"/>
  <c r="A86" i="112" s="1"/>
  <c r="A87" i="112" s="1"/>
  <c r="A88" i="112" s="1"/>
  <c r="A89" i="112" s="1"/>
  <c r="A90" i="112" s="1"/>
  <c r="A91" i="112" s="1"/>
  <c r="A7" i="112"/>
  <c r="F1" i="112"/>
  <c r="E1" i="112"/>
  <c r="D1" i="112"/>
  <c r="C1" i="112"/>
  <c r="B1" i="112"/>
  <c r="A8" i="111"/>
  <c r="A9" i="111" s="1"/>
  <c r="A10" i="111" s="1"/>
  <c r="A11" i="111" s="1"/>
  <c r="A12" i="111" s="1"/>
  <c r="A13" i="111" s="1"/>
  <c r="A14" i="111" s="1"/>
  <c r="A15" i="111" s="1"/>
  <c r="A16" i="111" s="1"/>
  <c r="A17" i="111" s="1"/>
  <c r="A18" i="111" s="1"/>
  <c r="A19" i="111" s="1"/>
  <c r="A20" i="111" s="1"/>
  <c r="A21" i="111" s="1"/>
  <c r="A22" i="111" s="1"/>
  <c r="A23" i="111" s="1"/>
  <c r="A24" i="111" s="1"/>
  <c r="A25" i="111" s="1"/>
  <c r="A26" i="111" s="1"/>
  <c r="A27" i="111" s="1"/>
  <c r="A28" i="111" s="1"/>
  <c r="A29" i="111" s="1"/>
  <c r="A30" i="111" s="1"/>
  <c r="A31" i="111" s="1"/>
  <c r="A32" i="111" s="1"/>
  <c r="A33" i="111" s="1"/>
  <c r="A34" i="111" s="1"/>
  <c r="A35" i="111" s="1"/>
  <c r="A36" i="111" s="1"/>
  <c r="A37" i="111" s="1"/>
  <c r="A38" i="111" s="1"/>
  <c r="A39" i="111" s="1"/>
  <c r="A40" i="111" s="1"/>
  <c r="A41" i="111" s="1"/>
  <c r="A42" i="111" s="1"/>
  <c r="A43" i="111" s="1"/>
  <c r="A44" i="111" s="1"/>
  <c r="A45" i="111" s="1"/>
  <c r="A46" i="111" s="1"/>
  <c r="A47" i="111" s="1"/>
  <c r="A48" i="111" s="1"/>
  <c r="A49" i="111" s="1"/>
  <c r="A50" i="111" s="1"/>
  <c r="A51" i="111" s="1"/>
  <c r="A52" i="111" s="1"/>
  <c r="A53" i="111" s="1"/>
  <c r="A54" i="111" s="1"/>
  <c r="A55" i="111" s="1"/>
  <c r="A56" i="111" s="1"/>
  <c r="A57" i="111" s="1"/>
  <c r="A58" i="111" s="1"/>
  <c r="A59" i="111" s="1"/>
  <c r="A60" i="111" s="1"/>
  <c r="A61" i="111" s="1"/>
  <c r="A62" i="111" s="1"/>
  <c r="A63" i="111" s="1"/>
  <c r="A64" i="111" s="1"/>
  <c r="A65" i="111" s="1"/>
  <c r="A66" i="111" s="1"/>
  <c r="A67" i="111" s="1"/>
  <c r="A68" i="111" s="1"/>
  <c r="A69" i="111" s="1"/>
  <c r="A70" i="111" s="1"/>
  <c r="A71" i="111" s="1"/>
  <c r="A72" i="111" s="1"/>
  <c r="A73" i="111" s="1"/>
  <c r="A74" i="111" s="1"/>
  <c r="A75" i="111" s="1"/>
  <c r="A76" i="111" s="1"/>
  <c r="A77" i="111" s="1"/>
  <c r="A78" i="111" s="1"/>
  <c r="A79" i="111" s="1"/>
  <c r="A80" i="111" s="1"/>
  <c r="A81" i="111" s="1"/>
  <c r="A82" i="111" s="1"/>
  <c r="A83" i="111" s="1"/>
  <c r="A84" i="111" s="1"/>
  <c r="A85" i="111" s="1"/>
  <c r="A86" i="111" s="1"/>
  <c r="A87" i="111" s="1"/>
  <c r="A88" i="111" s="1"/>
  <c r="A89" i="111" s="1"/>
  <c r="A90" i="111" s="1"/>
  <c r="A91" i="111" s="1"/>
  <c r="A7" i="111"/>
  <c r="F1" i="111"/>
  <c r="E1" i="111"/>
  <c r="D1" i="111"/>
  <c r="C1" i="111"/>
  <c r="B1" i="111"/>
  <c r="A8" i="110"/>
  <c r="A9" i="110" s="1"/>
  <c r="A10" i="110" s="1"/>
  <c r="A11" i="110" s="1"/>
  <c r="A12" i="110" s="1"/>
  <c r="A13" i="110" s="1"/>
  <c r="A14" i="110" s="1"/>
  <c r="A15" i="110" s="1"/>
  <c r="A16" i="110" s="1"/>
  <c r="A17" i="110" s="1"/>
  <c r="A18" i="110" s="1"/>
  <c r="A19" i="110" s="1"/>
  <c r="A20" i="110" s="1"/>
  <c r="A21" i="110" s="1"/>
  <c r="A22" i="110" s="1"/>
  <c r="A23" i="110" s="1"/>
  <c r="A24" i="110" s="1"/>
  <c r="A25" i="110" s="1"/>
  <c r="A26" i="110" s="1"/>
  <c r="A27" i="110" s="1"/>
  <c r="A28" i="110" s="1"/>
  <c r="A29" i="110" s="1"/>
  <c r="A30" i="110" s="1"/>
  <c r="A31" i="110" s="1"/>
  <c r="A32" i="110" s="1"/>
  <c r="A33" i="110" s="1"/>
  <c r="A34" i="110" s="1"/>
  <c r="A35" i="110" s="1"/>
  <c r="A36" i="110" s="1"/>
  <c r="A37" i="110" s="1"/>
  <c r="A38" i="110" s="1"/>
  <c r="A39" i="110" s="1"/>
  <c r="A40" i="110" s="1"/>
  <c r="A41" i="110" s="1"/>
  <c r="A42" i="110" s="1"/>
  <c r="A43" i="110" s="1"/>
  <c r="A44" i="110" s="1"/>
  <c r="A45" i="110" s="1"/>
  <c r="A46" i="110" s="1"/>
  <c r="A47" i="110" s="1"/>
  <c r="A48" i="110" s="1"/>
  <c r="A49" i="110" s="1"/>
  <c r="A50" i="110" s="1"/>
  <c r="A51" i="110" s="1"/>
  <c r="A52" i="110" s="1"/>
  <c r="A53" i="110" s="1"/>
  <c r="A54" i="110" s="1"/>
  <c r="A55" i="110" s="1"/>
  <c r="A56" i="110" s="1"/>
  <c r="A57" i="110" s="1"/>
  <c r="A58" i="110" s="1"/>
  <c r="A59" i="110" s="1"/>
  <c r="A60" i="110" s="1"/>
  <c r="A61" i="110" s="1"/>
  <c r="A62" i="110" s="1"/>
  <c r="A63" i="110" s="1"/>
  <c r="A64" i="110" s="1"/>
  <c r="A65" i="110" s="1"/>
  <c r="A66" i="110" s="1"/>
  <c r="A67" i="110" s="1"/>
  <c r="A68" i="110" s="1"/>
  <c r="A69" i="110" s="1"/>
  <c r="A70" i="110" s="1"/>
  <c r="A71" i="110" s="1"/>
  <c r="A72" i="110" s="1"/>
  <c r="A73" i="110" s="1"/>
  <c r="A74" i="110" s="1"/>
  <c r="A75" i="110" s="1"/>
  <c r="A76" i="110" s="1"/>
  <c r="A77" i="110" s="1"/>
  <c r="A78" i="110" s="1"/>
  <c r="A79" i="110" s="1"/>
  <c r="A80" i="110" s="1"/>
  <c r="A81" i="110" s="1"/>
  <c r="A82" i="110" s="1"/>
  <c r="A83" i="110" s="1"/>
  <c r="A84" i="110" s="1"/>
  <c r="A85" i="110" s="1"/>
  <c r="A86" i="110" s="1"/>
  <c r="A87" i="110" s="1"/>
  <c r="A88" i="110" s="1"/>
  <c r="A89" i="110" s="1"/>
  <c r="A90" i="110" s="1"/>
  <c r="A91" i="110" s="1"/>
  <c r="A7" i="110"/>
  <c r="F1" i="110"/>
  <c r="E1" i="110"/>
  <c r="D1" i="110"/>
  <c r="C1" i="110"/>
  <c r="B1" i="110"/>
  <c r="A8" i="109"/>
  <c r="A9" i="109" s="1"/>
  <c r="A10" i="109" s="1"/>
  <c r="A11" i="109" s="1"/>
  <c r="A12" i="109" s="1"/>
  <c r="A13" i="109" s="1"/>
  <c r="A14" i="109" s="1"/>
  <c r="A15" i="109" s="1"/>
  <c r="A16" i="109" s="1"/>
  <c r="A17" i="109" s="1"/>
  <c r="A18" i="109" s="1"/>
  <c r="A19" i="109" s="1"/>
  <c r="A20" i="109" s="1"/>
  <c r="A21" i="109" s="1"/>
  <c r="A22" i="109" s="1"/>
  <c r="A23" i="109" s="1"/>
  <c r="A24" i="109" s="1"/>
  <c r="A25" i="109" s="1"/>
  <c r="A26" i="109" s="1"/>
  <c r="A27" i="109" s="1"/>
  <c r="A28" i="109" s="1"/>
  <c r="A29" i="109" s="1"/>
  <c r="A30" i="109" s="1"/>
  <c r="A31" i="109" s="1"/>
  <c r="A32" i="109" s="1"/>
  <c r="A33" i="109" s="1"/>
  <c r="A34" i="109" s="1"/>
  <c r="A35" i="109" s="1"/>
  <c r="A36" i="109" s="1"/>
  <c r="A37" i="109" s="1"/>
  <c r="A38" i="109" s="1"/>
  <c r="A39" i="109" s="1"/>
  <c r="A40" i="109" s="1"/>
  <c r="A41" i="109" s="1"/>
  <c r="A42" i="109" s="1"/>
  <c r="A43" i="109" s="1"/>
  <c r="A44" i="109" s="1"/>
  <c r="A45" i="109" s="1"/>
  <c r="A46" i="109" s="1"/>
  <c r="A47" i="109" s="1"/>
  <c r="A48" i="109" s="1"/>
  <c r="A49" i="109" s="1"/>
  <c r="A50" i="109" s="1"/>
  <c r="A51" i="109" s="1"/>
  <c r="A52" i="109" s="1"/>
  <c r="A53" i="109" s="1"/>
  <c r="A54" i="109" s="1"/>
  <c r="A55" i="109" s="1"/>
  <c r="A56" i="109" s="1"/>
  <c r="A57" i="109" s="1"/>
  <c r="A58" i="109" s="1"/>
  <c r="A59" i="109" s="1"/>
  <c r="A60" i="109" s="1"/>
  <c r="A61" i="109" s="1"/>
  <c r="A62" i="109" s="1"/>
  <c r="A63" i="109" s="1"/>
  <c r="A64" i="109" s="1"/>
  <c r="A65" i="109" s="1"/>
  <c r="A66" i="109" s="1"/>
  <c r="A67" i="109" s="1"/>
  <c r="A68" i="109" s="1"/>
  <c r="A69" i="109" s="1"/>
  <c r="A70" i="109" s="1"/>
  <c r="A71" i="109" s="1"/>
  <c r="A72" i="109" s="1"/>
  <c r="A73" i="109" s="1"/>
  <c r="A74" i="109" s="1"/>
  <c r="A75" i="109" s="1"/>
  <c r="A76" i="109" s="1"/>
  <c r="A77" i="109" s="1"/>
  <c r="A78" i="109" s="1"/>
  <c r="A79" i="109" s="1"/>
  <c r="A80" i="109" s="1"/>
  <c r="A81" i="109" s="1"/>
  <c r="A82" i="109" s="1"/>
  <c r="A83" i="109" s="1"/>
  <c r="A84" i="109" s="1"/>
  <c r="A85" i="109" s="1"/>
  <c r="A86" i="109" s="1"/>
  <c r="A87" i="109" s="1"/>
  <c r="A88" i="109" s="1"/>
  <c r="A89" i="109" s="1"/>
  <c r="A90" i="109" s="1"/>
  <c r="A91" i="109" s="1"/>
  <c r="A7" i="109"/>
  <c r="F1" i="109"/>
  <c r="E1" i="109"/>
  <c r="D1" i="109"/>
  <c r="C1" i="109"/>
  <c r="B1" i="109"/>
  <c r="A8" i="108"/>
  <c r="A9" i="108" s="1"/>
  <c r="A10" i="108" s="1"/>
  <c r="A11" i="108" s="1"/>
  <c r="A12" i="108" s="1"/>
  <c r="A13" i="108" s="1"/>
  <c r="A14" i="108" s="1"/>
  <c r="A15" i="108" s="1"/>
  <c r="A16" i="108" s="1"/>
  <c r="A17" i="108" s="1"/>
  <c r="A18" i="108" s="1"/>
  <c r="A19" i="108" s="1"/>
  <c r="A20" i="108" s="1"/>
  <c r="A21" i="108" s="1"/>
  <c r="A22" i="108" s="1"/>
  <c r="A23" i="108" s="1"/>
  <c r="A24" i="108" s="1"/>
  <c r="A25" i="108" s="1"/>
  <c r="A26" i="108" s="1"/>
  <c r="A27" i="108" s="1"/>
  <c r="A28" i="108" s="1"/>
  <c r="A29" i="108" s="1"/>
  <c r="A30" i="108" s="1"/>
  <c r="A31" i="108" s="1"/>
  <c r="A32" i="108" s="1"/>
  <c r="A33" i="108" s="1"/>
  <c r="A34" i="108" s="1"/>
  <c r="A35" i="108" s="1"/>
  <c r="A36" i="108" s="1"/>
  <c r="A37" i="108" s="1"/>
  <c r="A38" i="108" s="1"/>
  <c r="A39" i="108" s="1"/>
  <c r="A40" i="108" s="1"/>
  <c r="A41" i="108" s="1"/>
  <c r="A42" i="108" s="1"/>
  <c r="A43" i="108" s="1"/>
  <c r="A44" i="108" s="1"/>
  <c r="A45" i="108" s="1"/>
  <c r="A46" i="108" s="1"/>
  <c r="A47" i="108" s="1"/>
  <c r="A48" i="108" s="1"/>
  <c r="A49" i="108" s="1"/>
  <c r="A50" i="108" s="1"/>
  <c r="A51" i="108" s="1"/>
  <c r="A52" i="108" s="1"/>
  <c r="A53" i="108" s="1"/>
  <c r="A54" i="108" s="1"/>
  <c r="A55" i="108" s="1"/>
  <c r="A56" i="108" s="1"/>
  <c r="A57" i="108" s="1"/>
  <c r="A58" i="108" s="1"/>
  <c r="A59" i="108" s="1"/>
  <c r="A60" i="108" s="1"/>
  <c r="A61" i="108" s="1"/>
  <c r="A62" i="108" s="1"/>
  <c r="A63" i="108" s="1"/>
  <c r="A64" i="108" s="1"/>
  <c r="A65" i="108" s="1"/>
  <c r="A66" i="108" s="1"/>
  <c r="A67" i="108" s="1"/>
  <c r="A68" i="108" s="1"/>
  <c r="A69" i="108" s="1"/>
  <c r="A70" i="108" s="1"/>
  <c r="A71" i="108" s="1"/>
  <c r="A72" i="108" s="1"/>
  <c r="A73" i="108" s="1"/>
  <c r="A74" i="108" s="1"/>
  <c r="A75" i="108" s="1"/>
  <c r="A76" i="108" s="1"/>
  <c r="A77" i="108" s="1"/>
  <c r="A78" i="108" s="1"/>
  <c r="A79" i="108" s="1"/>
  <c r="A80" i="108" s="1"/>
  <c r="A81" i="108" s="1"/>
  <c r="A82" i="108" s="1"/>
  <c r="A83" i="108" s="1"/>
  <c r="A84" i="108" s="1"/>
  <c r="A85" i="108" s="1"/>
  <c r="A86" i="108" s="1"/>
  <c r="A87" i="108" s="1"/>
  <c r="A88" i="108" s="1"/>
  <c r="A89" i="108" s="1"/>
  <c r="A90" i="108" s="1"/>
  <c r="A91" i="108" s="1"/>
  <c r="A7" i="108"/>
  <c r="F1" i="108"/>
  <c r="E1" i="108"/>
  <c r="D1" i="108"/>
  <c r="C1" i="108"/>
  <c r="B1" i="108"/>
  <c r="A8" i="107"/>
  <c r="A9" i="107" s="1"/>
  <c r="A10" i="107" s="1"/>
  <c r="A11" i="107" s="1"/>
  <c r="A12" i="107" s="1"/>
  <c r="A13" i="107" s="1"/>
  <c r="A14" i="107" s="1"/>
  <c r="A15" i="107" s="1"/>
  <c r="A16" i="107" s="1"/>
  <c r="A17" i="107" s="1"/>
  <c r="A18" i="107" s="1"/>
  <c r="A19" i="107" s="1"/>
  <c r="A20" i="107" s="1"/>
  <c r="A21" i="107" s="1"/>
  <c r="A22" i="107" s="1"/>
  <c r="A23" i="107" s="1"/>
  <c r="A24" i="107" s="1"/>
  <c r="A25" i="107" s="1"/>
  <c r="A26" i="107" s="1"/>
  <c r="A27" i="107" s="1"/>
  <c r="A28" i="107" s="1"/>
  <c r="A29" i="107" s="1"/>
  <c r="A30" i="107" s="1"/>
  <c r="A31" i="107" s="1"/>
  <c r="A32" i="107" s="1"/>
  <c r="A33" i="107" s="1"/>
  <c r="A34" i="107" s="1"/>
  <c r="A35" i="107" s="1"/>
  <c r="A36" i="107" s="1"/>
  <c r="A37" i="107" s="1"/>
  <c r="A38" i="107" s="1"/>
  <c r="A39" i="107" s="1"/>
  <c r="A40" i="107" s="1"/>
  <c r="A41" i="107" s="1"/>
  <c r="A42" i="107" s="1"/>
  <c r="A43" i="107" s="1"/>
  <c r="A44" i="107" s="1"/>
  <c r="A45" i="107" s="1"/>
  <c r="A46" i="107" s="1"/>
  <c r="A47" i="107" s="1"/>
  <c r="A48" i="107" s="1"/>
  <c r="A49" i="107" s="1"/>
  <c r="A50" i="107" s="1"/>
  <c r="A51" i="107" s="1"/>
  <c r="A52" i="107" s="1"/>
  <c r="A53" i="107" s="1"/>
  <c r="A54" i="107" s="1"/>
  <c r="A55" i="107" s="1"/>
  <c r="A56" i="107" s="1"/>
  <c r="A57" i="107" s="1"/>
  <c r="A58" i="107" s="1"/>
  <c r="A59" i="107" s="1"/>
  <c r="A60" i="107" s="1"/>
  <c r="A61" i="107" s="1"/>
  <c r="A62" i="107" s="1"/>
  <c r="A63" i="107" s="1"/>
  <c r="A64" i="107" s="1"/>
  <c r="A65" i="107" s="1"/>
  <c r="A66" i="107" s="1"/>
  <c r="A67" i="107" s="1"/>
  <c r="A68" i="107" s="1"/>
  <c r="A69" i="107" s="1"/>
  <c r="A70" i="107" s="1"/>
  <c r="A71" i="107" s="1"/>
  <c r="A72" i="107" s="1"/>
  <c r="A73" i="107" s="1"/>
  <c r="A74" i="107" s="1"/>
  <c r="A75" i="107" s="1"/>
  <c r="A76" i="107" s="1"/>
  <c r="A77" i="107" s="1"/>
  <c r="A78" i="107" s="1"/>
  <c r="A79" i="107" s="1"/>
  <c r="A80" i="107" s="1"/>
  <c r="A81" i="107" s="1"/>
  <c r="A82" i="107" s="1"/>
  <c r="A83" i="107" s="1"/>
  <c r="A84" i="107" s="1"/>
  <c r="A85" i="107" s="1"/>
  <c r="A86" i="107" s="1"/>
  <c r="A87" i="107" s="1"/>
  <c r="A88" i="107" s="1"/>
  <c r="A89" i="107" s="1"/>
  <c r="A90" i="107" s="1"/>
  <c r="A91" i="107" s="1"/>
  <c r="A7" i="107"/>
  <c r="F1" i="107"/>
  <c r="E1" i="107"/>
  <c r="D1" i="107"/>
  <c r="C1" i="107"/>
  <c r="B1" i="107"/>
  <c r="A8" i="106"/>
  <c r="A9" i="106" s="1"/>
  <c r="A10" i="106" s="1"/>
  <c r="A11" i="106" s="1"/>
  <c r="A12" i="106" s="1"/>
  <c r="A13" i="106" s="1"/>
  <c r="A14" i="106" s="1"/>
  <c r="A15" i="106" s="1"/>
  <c r="A16" i="106" s="1"/>
  <c r="A17" i="106" s="1"/>
  <c r="A18" i="106" s="1"/>
  <c r="A19" i="106" s="1"/>
  <c r="A20" i="106" s="1"/>
  <c r="A21" i="106" s="1"/>
  <c r="A22" i="106" s="1"/>
  <c r="A23" i="106" s="1"/>
  <c r="A24" i="106" s="1"/>
  <c r="A25" i="106" s="1"/>
  <c r="A26" i="106" s="1"/>
  <c r="A27" i="106" s="1"/>
  <c r="A28" i="106" s="1"/>
  <c r="A29" i="106" s="1"/>
  <c r="A30" i="106" s="1"/>
  <c r="A31" i="106" s="1"/>
  <c r="A32" i="106" s="1"/>
  <c r="A33" i="106" s="1"/>
  <c r="A34" i="106" s="1"/>
  <c r="A35" i="106" s="1"/>
  <c r="A36" i="106" s="1"/>
  <c r="A37" i="106" s="1"/>
  <c r="A38" i="106" s="1"/>
  <c r="A39" i="106" s="1"/>
  <c r="A40" i="106" s="1"/>
  <c r="A41" i="106" s="1"/>
  <c r="A42" i="106" s="1"/>
  <c r="A43" i="106" s="1"/>
  <c r="A44" i="106" s="1"/>
  <c r="A45" i="106" s="1"/>
  <c r="A46" i="106" s="1"/>
  <c r="A47" i="106" s="1"/>
  <c r="A48" i="106" s="1"/>
  <c r="A49" i="106" s="1"/>
  <c r="A50" i="106" s="1"/>
  <c r="A51" i="106" s="1"/>
  <c r="A52" i="106" s="1"/>
  <c r="A53" i="106" s="1"/>
  <c r="A54" i="106" s="1"/>
  <c r="A55" i="106" s="1"/>
  <c r="A56" i="106" s="1"/>
  <c r="A57" i="106" s="1"/>
  <c r="A58" i="106" s="1"/>
  <c r="A59" i="106" s="1"/>
  <c r="A60" i="106" s="1"/>
  <c r="A61" i="106" s="1"/>
  <c r="A62" i="106" s="1"/>
  <c r="A63" i="106" s="1"/>
  <c r="A64" i="106" s="1"/>
  <c r="A65" i="106" s="1"/>
  <c r="A66" i="106" s="1"/>
  <c r="A67" i="106" s="1"/>
  <c r="A68" i="106" s="1"/>
  <c r="A69" i="106" s="1"/>
  <c r="A70" i="106" s="1"/>
  <c r="A71" i="106" s="1"/>
  <c r="A72" i="106" s="1"/>
  <c r="A73" i="106" s="1"/>
  <c r="A74" i="106" s="1"/>
  <c r="A75" i="106" s="1"/>
  <c r="A76" i="106" s="1"/>
  <c r="A77" i="106" s="1"/>
  <c r="A78" i="106" s="1"/>
  <c r="A79" i="106" s="1"/>
  <c r="A80" i="106" s="1"/>
  <c r="A81" i="106" s="1"/>
  <c r="A82" i="106" s="1"/>
  <c r="A83" i="106" s="1"/>
  <c r="A84" i="106" s="1"/>
  <c r="A85" i="106" s="1"/>
  <c r="A86" i="106" s="1"/>
  <c r="A87" i="106" s="1"/>
  <c r="A88" i="106" s="1"/>
  <c r="A89" i="106" s="1"/>
  <c r="A90" i="106" s="1"/>
  <c r="A91" i="106" s="1"/>
  <c r="A7" i="106"/>
  <c r="F1" i="106"/>
  <c r="E1" i="106"/>
  <c r="D1" i="106"/>
  <c r="C1" i="106"/>
  <c r="B1" i="106"/>
  <c r="A8" i="105"/>
  <c r="A9" i="105" s="1"/>
  <c r="A10" i="105" s="1"/>
  <c r="A11" i="105" s="1"/>
  <c r="A12" i="105" s="1"/>
  <c r="A13" i="105" s="1"/>
  <c r="A14" i="105" s="1"/>
  <c r="A15" i="105" s="1"/>
  <c r="A16" i="105" s="1"/>
  <c r="A17" i="105" s="1"/>
  <c r="A18" i="105" s="1"/>
  <c r="A19" i="105" s="1"/>
  <c r="A20" i="105" s="1"/>
  <c r="A21" i="105" s="1"/>
  <c r="A22" i="105" s="1"/>
  <c r="A23" i="105" s="1"/>
  <c r="A24" i="105" s="1"/>
  <c r="A25" i="105" s="1"/>
  <c r="A26" i="105" s="1"/>
  <c r="A27" i="105" s="1"/>
  <c r="A28" i="105" s="1"/>
  <c r="A29" i="105" s="1"/>
  <c r="A30" i="105" s="1"/>
  <c r="A31" i="105" s="1"/>
  <c r="A32" i="105" s="1"/>
  <c r="A33" i="105" s="1"/>
  <c r="A34" i="105" s="1"/>
  <c r="A35" i="105" s="1"/>
  <c r="A36" i="105" s="1"/>
  <c r="A37" i="105" s="1"/>
  <c r="A38" i="105" s="1"/>
  <c r="A39" i="105" s="1"/>
  <c r="A40" i="105" s="1"/>
  <c r="A41" i="105" s="1"/>
  <c r="A42" i="105" s="1"/>
  <c r="A43" i="105" s="1"/>
  <c r="A44" i="105" s="1"/>
  <c r="A45" i="105" s="1"/>
  <c r="A46" i="105" s="1"/>
  <c r="A47" i="105" s="1"/>
  <c r="A48" i="105" s="1"/>
  <c r="A49" i="105" s="1"/>
  <c r="A50" i="105" s="1"/>
  <c r="A51" i="105" s="1"/>
  <c r="A52" i="105" s="1"/>
  <c r="A53" i="105" s="1"/>
  <c r="A54" i="105" s="1"/>
  <c r="A55" i="105" s="1"/>
  <c r="A56" i="105" s="1"/>
  <c r="A57" i="105" s="1"/>
  <c r="A58" i="105" s="1"/>
  <c r="A59" i="105" s="1"/>
  <c r="A60" i="105" s="1"/>
  <c r="A61" i="105" s="1"/>
  <c r="A62" i="105" s="1"/>
  <c r="A63" i="105" s="1"/>
  <c r="A64" i="105" s="1"/>
  <c r="A65" i="105" s="1"/>
  <c r="A66" i="105" s="1"/>
  <c r="A67" i="105" s="1"/>
  <c r="A68" i="105" s="1"/>
  <c r="A69" i="105" s="1"/>
  <c r="A70" i="105" s="1"/>
  <c r="A71" i="105" s="1"/>
  <c r="A72" i="105" s="1"/>
  <c r="A73" i="105" s="1"/>
  <c r="A74" i="105" s="1"/>
  <c r="A75" i="105" s="1"/>
  <c r="A76" i="105" s="1"/>
  <c r="A77" i="105" s="1"/>
  <c r="A78" i="105" s="1"/>
  <c r="A79" i="105" s="1"/>
  <c r="A80" i="105" s="1"/>
  <c r="A81" i="105" s="1"/>
  <c r="A82" i="105" s="1"/>
  <c r="A83" i="105" s="1"/>
  <c r="A84" i="105" s="1"/>
  <c r="A85" i="105" s="1"/>
  <c r="A86" i="105" s="1"/>
  <c r="A87" i="105" s="1"/>
  <c r="A88" i="105" s="1"/>
  <c r="A89" i="105" s="1"/>
  <c r="A90" i="105" s="1"/>
  <c r="A91" i="105" s="1"/>
  <c r="A7" i="105"/>
  <c r="F1" i="105"/>
  <c r="E1" i="105"/>
  <c r="D1" i="105"/>
  <c r="C1" i="105"/>
  <c r="B1" i="105"/>
  <c r="A8" i="104"/>
  <c r="A9" i="104" s="1"/>
  <c r="A10" i="104" s="1"/>
  <c r="A11" i="104" s="1"/>
  <c r="A12" i="104" s="1"/>
  <c r="A13" i="104" s="1"/>
  <c r="A14" i="104" s="1"/>
  <c r="A15" i="104" s="1"/>
  <c r="A16" i="104" s="1"/>
  <c r="A17" i="104" s="1"/>
  <c r="A18" i="104" s="1"/>
  <c r="A19" i="104" s="1"/>
  <c r="A20" i="104" s="1"/>
  <c r="A21" i="104" s="1"/>
  <c r="A22" i="104" s="1"/>
  <c r="A23" i="104" s="1"/>
  <c r="A24" i="104" s="1"/>
  <c r="A25" i="104" s="1"/>
  <c r="A26" i="104" s="1"/>
  <c r="A27" i="104" s="1"/>
  <c r="A28" i="104" s="1"/>
  <c r="A29" i="104" s="1"/>
  <c r="A30" i="104" s="1"/>
  <c r="A31" i="104" s="1"/>
  <c r="A32" i="104" s="1"/>
  <c r="A33" i="104" s="1"/>
  <c r="A34" i="104" s="1"/>
  <c r="A35" i="104" s="1"/>
  <c r="A36" i="104" s="1"/>
  <c r="A37" i="104" s="1"/>
  <c r="A38" i="104" s="1"/>
  <c r="A39" i="104" s="1"/>
  <c r="A40" i="104" s="1"/>
  <c r="A41" i="104" s="1"/>
  <c r="A42" i="104" s="1"/>
  <c r="A43" i="104" s="1"/>
  <c r="A44" i="104" s="1"/>
  <c r="A45" i="104" s="1"/>
  <c r="A46" i="104" s="1"/>
  <c r="A47" i="104" s="1"/>
  <c r="A48" i="104" s="1"/>
  <c r="A49" i="104" s="1"/>
  <c r="A50" i="104" s="1"/>
  <c r="A51" i="104" s="1"/>
  <c r="A52" i="104" s="1"/>
  <c r="A53" i="104" s="1"/>
  <c r="A54" i="104" s="1"/>
  <c r="A55" i="104" s="1"/>
  <c r="A56" i="104" s="1"/>
  <c r="A57" i="104" s="1"/>
  <c r="A58" i="104" s="1"/>
  <c r="A59" i="104" s="1"/>
  <c r="A60" i="104" s="1"/>
  <c r="A61" i="104" s="1"/>
  <c r="A62" i="104" s="1"/>
  <c r="A63" i="104" s="1"/>
  <c r="A64" i="104" s="1"/>
  <c r="A65" i="104" s="1"/>
  <c r="A66" i="104" s="1"/>
  <c r="A67" i="104" s="1"/>
  <c r="A68" i="104" s="1"/>
  <c r="A69" i="104" s="1"/>
  <c r="A70" i="104" s="1"/>
  <c r="A71" i="104" s="1"/>
  <c r="A72" i="104" s="1"/>
  <c r="A73" i="104" s="1"/>
  <c r="A74" i="104" s="1"/>
  <c r="A75" i="104" s="1"/>
  <c r="A76" i="104" s="1"/>
  <c r="A77" i="104" s="1"/>
  <c r="A78" i="104" s="1"/>
  <c r="A79" i="104" s="1"/>
  <c r="A80" i="104" s="1"/>
  <c r="A81" i="104" s="1"/>
  <c r="A82" i="104" s="1"/>
  <c r="A83" i="104" s="1"/>
  <c r="A84" i="104" s="1"/>
  <c r="A85" i="104" s="1"/>
  <c r="A86" i="104" s="1"/>
  <c r="A87" i="104" s="1"/>
  <c r="A88" i="104" s="1"/>
  <c r="A89" i="104" s="1"/>
  <c r="A90" i="104" s="1"/>
  <c r="A91" i="104" s="1"/>
  <c r="A7" i="104"/>
  <c r="F1" i="104"/>
  <c r="E1" i="104"/>
  <c r="D1" i="104"/>
  <c r="C1" i="104"/>
  <c r="B1" i="104"/>
  <c r="A8" i="103"/>
  <c r="A9" i="103" s="1"/>
  <c r="A10" i="103" s="1"/>
  <c r="A11" i="103" s="1"/>
  <c r="A12" i="103" s="1"/>
  <c r="A13" i="103" s="1"/>
  <c r="A14" i="103" s="1"/>
  <c r="A15" i="103" s="1"/>
  <c r="A16" i="103" s="1"/>
  <c r="A17" i="103" s="1"/>
  <c r="A18" i="103" s="1"/>
  <c r="A19" i="103" s="1"/>
  <c r="A20" i="103" s="1"/>
  <c r="A21" i="103" s="1"/>
  <c r="A22" i="103" s="1"/>
  <c r="A23" i="103" s="1"/>
  <c r="A24" i="103" s="1"/>
  <c r="A25" i="103" s="1"/>
  <c r="A26" i="103" s="1"/>
  <c r="A27" i="103" s="1"/>
  <c r="A28" i="103" s="1"/>
  <c r="A29" i="103" s="1"/>
  <c r="A30" i="103" s="1"/>
  <c r="A31" i="103" s="1"/>
  <c r="A32" i="103" s="1"/>
  <c r="A33" i="103" s="1"/>
  <c r="A34" i="103" s="1"/>
  <c r="A35" i="103" s="1"/>
  <c r="A36" i="103" s="1"/>
  <c r="A37" i="103" s="1"/>
  <c r="A38" i="103" s="1"/>
  <c r="A39" i="103" s="1"/>
  <c r="A40" i="103" s="1"/>
  <c r="A41" i="103" s="1"/>
  <c r="A42" i="103" s="1"/>
  <c r="A43" i="103" s="1"/>
  <c r="A44" i="103" s="1"/>
  <c r="A45" i="103" s="1"/>
  <c r="A46" i="103" s="1"/>
  <c r="A47" i="103" s="1"/>
  <c r="A48" i="103" s="1"/>
  <c r="A49" i="103" s="1"/>
  <c r="A50" i="103" s="1"/>
  <c r="A51" i="103" s="1"/>
  <c r="A52" i="103" s="1"/>
  <c r="A53" i="103" s="1"/>
  <c r="A54" i="103" s="1"/>
  <c r="A55" i="103" s="1"/>
  <c r="A56" i="103" s="1"/>
  <c r="A57" i="103" s="1"/>
  <c r="A58" i="103" s="1"/>
  <c r="A59" i="103" s="1"/>
  <c r="A60" i="103" s="1"/>
  <c r="A61" i="103" s="1"/>
  <c r="A62" i="103" s="1"/>
  <c r="A63" i="103" s="1"/>
  <c r="A64" i="103" s="1"/>
  <c r="A65" i="103" s="1"/>
  <c r="A66" i="103" s="1"/>
  <c r="A67" i="103" s="1"/>
  <c r="A68" i="103" s="1"/>
  <c r="A69" i="103" s="1"/>
  <c r="A70" i="103" s="1"/>
  <c r="A71" i="103" s="1"/>
  <c r="A72" i="103" s="1"/>
  <c r="A73" i="103" s="1"/>
  <c r="A74" i="103" s="1"/>
  <c r="A75" i="103" s="1"/>
  <c r="A76" i="103" s="1"/>
  <c r="A77" i="103" s="1"/>
  <c r="A78" i="103" s="1"/>
  <c r="A79" i="103" s="1"/>
  <c r="A80" i="103" s="1"/>
  <c r="A81" i="103" s="1"/>
  <c r="A82" i="103" s="1"/>
  <c r="A83" i="103" s="1"/>
  <c r="A84" i="103" s="1"/>
  <c r="A85" i="103" s="1"/>
  <c r="A86" i="103" s="1"/>
  <c r="A87" i="103" s="1"/>
  <c r="A88" i="103" s="1"/>
  <c r="A89" i="103" s="1"/>
  <c r="A90" i="103" s="1"/>
  <c r="A91" i="103" s="1"/>
  <c r="A7" i="103"/>
  <c r="F1" i="103"/>
  <c r="E1" i="103"/>
  <c r="D1" i="103"/>
  <c r="C1" i="103"/>
  <c r="B1" i="103"/>
  <c r="A8" i="102"/>
  <c r="A9" i="102" s="1"/>
  <c r="A10" i="102" s="1"/>
  <c r="A11" i="102" s="1"/>
  <c r="A12" i="102" s="1"/>
  <c r="A13" i="102" s="1"/>
  <c r="A14" i="102" s="1"/>
  <c r="A15" i="102" s="1"/>
  <c r="A16" i="102" s="1"/>
  <c r="A17" i="102" s="1"/>
  <c r="A18" i="102" s="1"/>
  <c r="A19" i="102" s="1"/>
  <c r="A20" i="102" s="1"/>
  <c r="A21" i="102" s="1"/>
  <c r="A22" i="102" s="1"/>
  <c r="A23" i="102" s="1"/>
  <c r="A24" i="102" s="1"/>
  <c r="A25" i="102" s="1"/>
  <c r="A26" i="102" s="1"/>
  <c r="A27" i="102" s="1"/>
  <c r="A28" i="102" s="1"/>
  <c r="A29" i="102" s="1"/>
  <c r="A30" i="102" s="1"/>
  <c r="A31" i="102" s="1"/>
  <c r="A32" i="102" s="1"/>
  <c r="A33" i="102" s="1"/>
  <c r="A34" i="102" s="1"/>
  <c r="A35" i="102" s="1"/>
  <c r="A36" i="102" s="1"/>
  <c r="A37" i="102" s="1"/>
  <c r="A38" i="102" s="1"/>
  <c r="A39" i="102" s="1"/>
  <c r="A40" i="102" s="1"/>
  <c r="A41" i="102" s="1"/>
  <c r="A42" i="102" s="1"/>
  <c r="A43" i="102" s="1"/>
  <c r="A44" i="102" s="1"/>
  <c r="A45" i="102" s="1"/>
  <c r="A46" i="102" s="1"/>
  <c r="A47" i="102" s="1"/>
  <c r="A48" i="102" s="1"/>
  <c r="A49" i="102" s="1"/>
  <c r="A50" i="102" s="1"/>
  <c r="A51" i="102" s="1"/>
  <c r="A52" i="102" s="1"/>
  <c r="A53" i="102" s="1"/>
  <c r="A54" i="102" s="1"/>
  <c r="A55" i="102" s="1"/>
  <c r="A56" i="102" s="1"/>
  <c r="A57" i="102" s="1"/>
  <c r="A58" i="102" s="1"/>
  <c r="A59" i="102" s="1"/>
  <c r="A60" i="102" s="1"/>
  <c r="A61" i="102" s="1"/>
  <c r="A62" i="102" s="1"/>
  <c r="A63" i="102" s="1"/>
  <c r="A64" i="102" s="1"/>
  <c r="A65" i="102" s="1"/>
  <c r="A66" i="102" s="1"/>
  <c r="A67" i="102" s="1"/>
  <c r="A68" i="102" s="1"/>
  <c r="A69" i="102" s="1"/>
  <c r="A70" i="102" s="1"/>
  <c r="A71" i="102" s="1"/>
  <c r="A72" i="102" s="1"/>
  <c r="A73" i="102" s="1"/>
  <c r="A74" i="102" s="1"/>
  <c r="A75" i="102" s="1"/>
  <c r="A76" i="102" s="1"/>
  <c r="A77" i="102" s="1"/>
  <c r="A78" i="102" s="1"/>
  <c r="A79" i="102" s="1"/>
  <c r="A80" i="102" s="1"/>
  <c r="A81" i="102" s="1"/>
  <c r="A82" i="102" s="1"/>
  <c r="A83" i="102" s="1"/>
  <c r="A84" i="102" s="1"/>
  <c r="A85" i="102" s="1"/>
  <c r="A86" i="102" s="1"/>
  <c r="A87" i="102" s="1"/>
  <c r="A88" i="102" s="1"/>
  <c r="A89" i="102" s="1"/>
  <c r="A90" i="102" s="1"/>
  <c r="A91" i="102" s="1"/>
  <c r="A7" i="102"/>
  <c r="F1" i="102"/>
  <c r="E1" i="102"/>
  <c r="D1" i="102"/>
  <c r="C1" i="102"/>
  <c r="B1" i="102"/>
  <c r="A8" i="101"/>
  <c r="A9" i="101" s="1"/>
  <c r="A10" i="101" s="1"/>
  <c r="A11" i="101" s="1"/>
  <c r="A12" i="101" s="1"/>
  <c r="A13" i="101" s="1"/>
  <c r="A14" i="101" s="1"/>
  <c r="A15" i="101" s="1"/>
  <c r="A16" i="101" s="1"/>
  <c r="A17" i="101" s="1"/>
  <c r="A18" i="101" s="1"/>
  <c r="A19" i="101" s="1"/>
  <c r="A20" i="101" s="1"/>
  <c r="A21" i="101" s="1"/>
  <c r="A22" i="101" s="1"/>
  <c r="A23" i="101" s="1"/>
  <c r="A24" i="101" s="1"/>
  <c r="A25" i="101" s="1"/>
  <c r="A26" i="101" s="1"/>
  <c r="A27" i="101" s="1"/>
  <c r="A28" i="101" s="1"/>
  <c r="A29" i="101" s="1"/>
  <c r="A30" i="101" s="1"/>
  <c r="A31" i="101" s="1"/>
  <c r="A32" i="101" s="1"/>
  <c r="A33" i="101" s="1"/>
  <c r="A34" i="101" s="1"/>
  <c r="A35" i="101" s="1"/>
  <c r="A36" i="101" s="1"/>
  <c r="A37" i="101" s="1"/>
  <c r="A38" i="101" s="1"/>
  <c r="A39" i="101" s="1"/>
  <c r="A40" i="101" s="1"/>
  <c r="A41" i="101" s="1"/>
  <c r="A42" i="101" s="1"/>
  <c r="A43" i="101" s="1"/>
  <c r="A44" i="101" s="1"/>
  <c r="A45" i="101" s="1"/>
  <c r="A46" i="101" s="1"/>
  <c r="A47" i="101" s="1"/>
  <c r="A48" i="101" s="1"/>
  <c r="A49" i="101" s="1"/>
  <c r="A50" i="101" s="1"/>
  <c r="A51" i="101" s="1"/>
  <c r="A52" i="101" s="1"/>
  <c r="A53" i="101" s="1"/>
  <c r="A54" i="101" s="1"/>
  <c r="A55" i="101" s="1"/>
  <c r="A56" i="101" s="1"/>
  <c r="A57" i="101" s="1"/>
  <c r="A58" i="101" s="1"/>
  <c r="A59" i="101" s="1"/>
  <c r="A60" i="101" s="1"/>
  <c r="A61" i="101" s="1"/>
  <c r="A62" i="101" s="1"/>
  <c r="A63" i="101" s="1"/>
  <c r="A64" i="101" s="1"/>
  <c r="A65" i="101" s="1"/>
  <c r="A66" i="101" s="1"/>
  <c r="A67" i="101" s="1"/>
  <c r="A68" i="101" s="1"/>
  <c r="A69" i="101" s="1"/>
  <c r="A70" i="101" s="1"/>
  <c r="A71" i="101" s="1"/>
  <c r="A72" i="101" s="1"/>
  <c r="A73" i="101" s="1"/>
  <c r="A74" i="101" s="1"/>
  <c r="A75" i="101" s="1"/>
  <c r="A76" i="101" s="1"/>
  <c r="A77" i="101" s="1"/>
  <c r="A78" i="101" s="1"/>
  <c r="A79" i="101" s="1"/>
  <c r="A80" i="101" s="1"/>
  <c r="A81" i="101" s="1"/>
  <c r="A82" i="101" s="1"/>
  <c r="A83" i="101" s="1"/>
  <c r="A84" i="101" s="1"/>
  <c r="A85" i="101" s="1"/>
  <c r="A86" i="101" s="1"/>
  <c r="A87" i="101" s="1"/>
  <c r="A88" i="101" s="1"/>
  <c r="A89" i="101" s="1"/>
  <c r="A90" i="101" s="1"/>
  <c r="A91" i="101" s="1"/>
  <c r="A7" i="101"/>
  <c r="F1" i="101"/>
  <c r="E1" i="101"/>
  <c r="D1" i="101"/>
  <c r="C1" i="101"/>
  <c r="B1" i="101"/>
  <c r="A8" i="100"/>
  <c r="A9" i="100" s="1"/>
  <c r="A10" i="100" s="1"/>
  <c r="A11" i="100" s="1"/>
  <c r="A12" i="100" s="1"/>
  <c r="A13" i="100" s="1"/>
  <c r="A14" i="100" s="1"/>
  <c r="A15" i="100" s="1"/>
  <c r="A16" i="100" s="1"/>
  <c r="A17" i="100" s="1"/>
  <c r="A18" i="100" s="1"/>
  <c r="A19" i="100" s="1"/>
  <c r="A20" i="100" s="1"/>
  <c r="A21" i="100" s="1"/>
  <c r="A22" i="100" s="1"/>
  <c r="A23" i="100" s="1"/>
  <c r="A24" i="100" s="1"/>
  <c r="A25" i="100" s="1"/>
  <c r="A26" i="100" s="1"/>
  <c r="A27" i="100" s="1"/>
  <c r="A28" i="100" s="1"/>
  <c r="A29" i="100" s="1"/>
  <c r="A30" i="100" s="1"/>
  <c r="A31" i="100" s="1"/>
  <c r="A32" i="100" s="1"/>
  <c r="A33" i="100" s="1"/>
  <c r="A34" i="100" s="1"/>
  <c r="A35" i="100" s="1"/>
  <c r="A36" i="100" s="1"/>
  <c r="A37" i="100" s="1"/>
  <c r="A38" i="100" s="1"/>
  <c r="A39" i="100" s="1"/>
  <c r="A40" i="100" s="1"/>
  <c r="A41" i="100" s="1"/>
  <c r="A42" i="100" s="1"/>
  <c r="A43" i="100" s="1"/>
  <c r="A44" i="100" s="1"/>
  <c r="A45" i="100" s="1"/>
  <c r="A46" i="100" s="1"/>
  <c r="A47" i="100" s="1"/>
  <c r="A48" i="100" s="1"/>
  <c r="A49" i="100" s="1"/>
  <c r="A50" i="100" s="1"/>
  <c r="A51" i="100" s="1"/>
  <c r="A52" i="100" s="1"/>
  <c r="A53" i="100" s="1"/>
  <c r="A54" i="100" s="1"/>
  <c r="A55" i="100" s="1"/>
  <c r="A56" i="100" s="1"/>
  <c r="A57" i="100" s="1"/>
  <c r="A58" i="100" s="1"/>
  <c r="A59" i="100" s="1"/>
  <c r="A60" i="100" s="1"/>
  <c r="A61" i="100" s="1"/>
  <c r="A62" i="100" s="1"/>
  <c r="A63" i="100" s="1"/>
  <c r="A64" i="100" s="1"/>
  <c r="A65" i="100" s="1"/>
  <c r="A66" i="100" s="1"/>
  <c r="A67" i="100" s="1"/>
  <c r="A68" i="100" s="1"/>
  <c r="A69" i="100" s="1"/>
  <c r="A70" i="100" s="1"/>
  <c r="A71" i="100" s="1"/>
  <c r="A72" i="100" s="1"/>
  <c r="A73" i="100" s="1"/>
  <c r="A74" i="100" s="1"/>
  <c r="A75" i="100" s="1"/>
  <c r="A76" i="100" s="1"/>
  <c r="A77" i="100" s="1"/>
  <c r="A78" i="100" s="1"/>
  <c r="A79" i="100" s="1"/>
  <c r="A80" i="100" s="1"/>
  <c r="A81" i="100" s="1"/>
  <c r="A82" i="100" s="1"/>
  <c r="A83" i="100" s="1"/>
  <c r="A84" i="100" s="1"/>
  <c r="A85" i="100" s="1"/>
  <c r="A86" i="100" s="1"/>
  <c r="A87" i="100" s="1"/>
  <c r="A88" i="100" s="1"/>
  <c r="A89" i="100" s="1"/>
  <c r="A90" i="100" s="1"/>
  <c r="A91" i="100" s="1"/>
  <c r="A7" i="100"/>
  <c r="F1" i="100"/>
  <c r="E1" i="100"/>
  <c r="D1" i="100"/>
  <c r="C1" i="100"/>
  <c r="B1" i="100"/>
  <c r="A8" i="99"/>
  <c r="A9" i="99" s="1"/>
  <c r="A10" i="99" s="1"/>
  <c r="A11" i="99" s="1"/>
  <c r="A12" i="99" s="1"/>
  <c r="A13" i="99" s="1"/>
  <c r="A14" i="99" s="1"/>
  <c r="A15" i="99" s="1"/>
  <c r="A16" i="99" s="1"/>
  <c r="A17" i="99" s="1"/>
  <c r="A18" i="99" s="1"/>
  <c r="A19" i="99" s="1"/>
  <c r="A20" i="99" s="1"/>
  <c r="A21" i="99" s="1"/>
  <c r="A22" i="99" s="1"/>
  <c r="A23" i="99" s="1"/>
  <c r="A24" i="99" s="1"/>
  <c r="A25" i="99" s="1"/>
  <c r="A26" i="99" s="1"/>
  <c r="A27" i="99" s="1"/>
  <c r="A28" i="99" s="1"/>
  <c r="A29" i="99" s="1"/>
  <c r="A30" i="99" s="1"/>
  <c r="A31" i="99" s="1"/>
  <c r="A32" i="99" s="1"/>
  <c r="A33" i="99" s="1"/>
  <c r="A34" i="99" s="1"/>
  <c r="A35" i="99" s="1"/>
  <c r="A36" i="99" s="1"/>
  <c r="A37" i="99" s="1"/>
  <c r="A38" i="99" s="1"/>
  <c r="A39" i="99" s="1"/>
  <c r="A40" i="99" s="1"/>
  <c r="A41" i="99" s="1"/>
  <c r="A42" i="99" s="1"/>
  <c r="A43" i="99" s="1"/>
  <c r="A44" i="99" s="1"/>
  <c r="A45" i="99" s="1"/>
  <c r="A46" i="99" s="1"/>
  <c r="A47" i="99" s="1"/>
  <c r="A48" i="99" s="1"/>
  <c r="A49" i="99" s="1"/>
  <c r="A50" i="99" s="1"/>
  <c r="A51" i="99" s="1"/>
  <c r="A52" i="99" s="1"/>
  <c r="A53" i="99" s="1"/>
  <c r="A54" i="99" s="1"/>
  <c r="A55" i="99" s="1"/>
  <c r="A56" i="99" s="1"/>
  <c r="A57" i="99" s="1"/>
  <c r="A58" i="99" s="1"/>
  <c r="A59" i="99" s="1"/>
  <c r="A60" i="99" s="1"/>
  <c r="A61" i="99" s="1"/>
  <c r="A62" i="99" s="1"/>
  <c r="A63" i="99" s="1"/>
  <c r="A64" i="99" s="1"/>
  <c r="A65" i="99" s="1"/>
  <c r="A66" i="99" s="1"/>
  <c r="A67" i="99" s="1"/>
  <c r="A68" i="99" s="1"/>
  <c r="A69" i="99" s="1"/>
  <c r="A70" i="99" s="1"/>
  <c r="A71" i="99" s="1"/>
  <c r="A72" i="99" s="1"/>
  <c r="A73" i="99" s="1"/>
  <c r="A74" i="99" s="1"/>
  <c r="A75" i="99" s="1"/>
  <c r="A76" i="99" s="1"/>
  <c r="A77" i="99" s="1"/>
  <c r="A78" i="99" s="1"/>
  <c r="A79" i="99" s="1"/>
  <c r="A80" i="99" s="1"/>
  <c r="A81" i="99" s="1"/>
  <c r="A82" i="99" s="1"/>
  <c r="A83" i="99" s="1"/>
  <c r="A84" i="99" s="1"/>
  <c r="A85" i="99" s="1"/>
  <c r="A86" i="99" s="1"/>
  <c r="A87" i="99" s="1"/>
  <c r="A88" i="99" s="1"/>
  <c r="A89" i="99" s="1"/>
  <c r="A90" i="99" s="1"/>
  <c r="A91" i="99" s="1"/>
  <c r="A7" i="99"/>
  <c r="F1" i="99"/>
  <c r="E1" i="99"/>
  <c r="D1" i="99"/>
  <c r="C1" i="99"/>
  <c r="B1" i="99"/>
  <c r="A8" i="98"/>
  <c r="A9" i="98" s="1"/>
  <c r="A10" i="98" s="1"/>
  <c r="A11" i="98" s="1"/>
  <c r="A12" i="98" s="1"/>
  <c r="A13" i="98" s="1"/>
  <c r="A14" i="98" s="1"/>
  <c r="A15" i="98" s="1"/>
  <c r="A16" i="98" s="1"/>
  <c r="A17" i="98" s="1"/>
  <c r="A18" i="98" s="1"/>
  <c r="A19" i="98" s="1"/>
  <c r="A20" i="98" s="1"/>
  <c r="A21" i="98" s="1"/>
  <c r="A22" i="98" s="1"/>
  <c r="A23" i="98" s="1"/>
  <c r="A24" i="98" s="1"/>
  <c r="A25" i="98" s="1"/>
  <c r="A26" i="98" s="1"/>
  <c r="A27" i="98" s="1"/>
  <c r="A28" i="98" s="1"/>
  <c r="A29" i="98" s="1"/>
  <c r="A30" i="98" s="1"/>
  <c r="A31" i="98" s="1"/>
  <c r="A32" i="98" s="1"/>
  <c r="A33" i="98" s="1"/>
  <c r="A34" i="98" s="1"/>
  <c r="A35" i="98" s="1"/>
  <c r="A36" i="98" s="1"/>
  <c r="A37" i="98" s="1"/>
  <c r="A38" i="98" s="1"/>
  <c r="A39" i="98" s="1"/>
  <c r="A40" i="98" s="1"/>
  <c r="A41" i="98" s="1"/>
  <c r="A42" i="98" s="1"/>
  <c r="A43" i="98" s="1"/>
  <c r="A44" i="98" s="1"/>
  <c r="A45" i="98" s="1"/>
  <c r="A46" i="98" s="1"/>
  <c r="A47" i="98" s="1"/>
  <c r="A48" i="98" s="1"/>
  <c r="A49" i="98" s="1"/>
  <c r="A50" i="98" s="1"/>
  <c r="A51" i="98" s="1"/>
  <c r="A52" i="98" s="1"/>
  <c r="A53" i="98" s="1"/>
  <c r="A54" i="98" s="1"/>
  <c r="A55" i="98" s="1"/>
  <c r="A56" i="98" s="1"/>
  <c r="A57" i="98" s="1"/>
  <c r="A58" i="98" s="1"/>
  <c r="A59" i="98" s="1"/>
  <c r="A60" i="98" s="1"/>
  <c r="A61" i="98" s="1"/>
  <c r="A62" i="98" s="1"/>
  <c r="A63" i="98" s="1"/>
  <c r="A64" i="98" s="1"/>
  <c r="A65" i="98" s="1"/>
  <c r="A66" i="98" s="1"/>
  <c r="A67" i="98" s="1"/>
  <c r="A68" i="98" s="1"/>
  <c r="A69" i="98" s="1"/>
  <c r="A70" i="98" s="1"/>
  <c r="A71" i="98" s="1"/>
  <c r="A72" i="98" s="1"/>
  <c r="A73" i="98" s="1"/>
  <c r="A74" i="98" s="1"/>
  <c r="A75" i="98" s="1"/>
  <c r="A76" i="98" s="1"/>
  <c r="A77" i="98" s="1"/>
  <c r="A78" i="98" s="1"/>
  <c r="A79" i="98" s="1"/>
  <c r="A80" i="98" s="1"/>
  <c r="A81" i="98" s="1"/>
  <c r="A82" i="98" s="1"/>
  <c r="A83" i="98" s="1"/>
  <c r="A84" i="98" s="1"/>
  <c r="A85" i="98" s="1"/>
  <c r="A86" i="98" s="1"/>
  <c r="A87" i="98" s="1"/>
  <c r="A88" i="98" s="1"/>
  <c r="A89" i="98" s="1"/>
  <c r="A90" i="98" s="1"/>
  <c r="A91" i="98" s="1"/>
  <c r="A7" i="98"/>
  <c r="F1" i="98"/>
  <c r="E1" i="98"/>
  <c r="D1" i="98"/>
  <c r="C1" i="98"/>
  <c r="B1" i="98"/>
  <c r="A8" i="97"/>
  <c r="A9" i="97" s="1"/>
  <c r="A10" i="97" s="1"/>
  <c r="A11" i="97" s="1"/>
  <c r="A12" i="97" s="1"/>
  <c r="A13" i="97" s="1"/>
  <c r="A14" i="97" s="1"/>
  <c r="A15" i="97" s="1"/>
  <c r="A16" i="97" s="1"/>
  <c r="A17" i="97" s="1"/>
  <c r="A18" i="97" s="1"/>
  <c r="A19" i="97" s="1"/>
  <c r="A20" i="97" s="1"/>
  <c r="A21" i="97" s="1"/>
  <c r="A22" i="97" s="1"/>
  <c r="A23" i="97" s="1"/>
  <c r="A24" i="97" s="1"/>
  <c r="A25" i="97" s="1"/>
  <c r="A26" i="97" s="1"/>
  <c r="A27" i="97" s="1"/>
  <c r="A28" i="97" s="1"/>
  <c r="A29" i="97" s="1"/>
  <c r="A30" i="97" s="1"/>
  <c r="A31" i="97" s="1"/>
  <c r="A32" i="97" s="1"/>
  <c r="A33" i="97" s="1"/>
  <c r="A34" i="97" s="1"/>
  <c r="A35" i="97" s="1"/>
  <c r="A36" i="97" s="1"/>
  <c r="A37" i="97" s="1"/>
  <c r="A38" i="97" s="1"/>
  <c r="A39" i="97" s="1"/>
  <c r="A40" i="97" s="1"/>
  <c r="A41" i="97" s="1"/>
  <c r="A42" i="97" s="1"/>
  <c r="A43" i="97" s="1"/>
  <c r="A44" i="97" s="1"/>
  <c r="A45" i="97" s="1"/>
  <c r="A46" i="97" s="1"/>
  <c r="A47" i="97" s="1"/>
  <c r="A48" i="97" s="1"/>
  <c r="A49" i="97" s="1"/>
  <c r="A50" i="97" s="1"/>
  <c r="A51" i="97" s="1"/>
  <c r="A52" i="97" s="1"/>
  <c r="A53" i="97" s="1"/>
  <c r="A54" i="97" s="1"/>
  <c r="A55" i="97" s="1"/>
  <c r="A56" i="97" s="1"/>
  <c r="A57" i="97" s="1"/>
  <c r="A58" i="97" s="1"/>
  <c r="A59" i="97" s="1"/>
  <c r="A60" i="97" s="1"/>
  <c r="A61" i="97" s="1"/>
  <c r="A62" i="97" s="1"/>
  <c r="A63" i="97" s="1"/>
  <c r="A64" i="97" s="1"/>
  <c r="A65" i="97" s="1"/>
  <c r="A66" i="97" s="1"/>
  <c r="A67" i="97" s="1"/>
  <c r="A68" i="97" s="1"/>
  <c r="A69" i="97" s="1"/>
  <c r="A70" i="97" s="1"/>
  <c r="A71" i="97" s="1"/>
  <c r="A72" i="97" s="1"/>
  <c r="A73" i="97" s="1"/>
  <c r="A74" i="97" s="1"/>
  <c r="A75" i="97" s="1"/>
  <c r="A76" i="97" s="1"/>
  <c r="A77" i="97" s="1"/>
  <c r="A78" i="97" s="1"/>
  <c r="A79" i="97" s="1"/>
  <c r="A80" i="97" s="1"/>
  <c r="A81" i="97" s="1"/>
  <c r="A82" i="97" s="1"/>
  <c r="A83" i="97" s="1"/>
  <c r="A84" i="97" s="1"/>
  <c r="A85" i="97" s="1"/>
  <c r="A86" i="97" s="1"/>
  <c r="A87" i="97" s="1"/>
  <c r="A88" i="97" s="1"/>
  <c r="A89" i="97" s="1"/>
  <c r="A90" i="97" s="1"/>
  <c r="A91" i="97" s="1"/>
  <c r="A7" i="97"/>
  <c r="F1" i="97"/>
  <c r="E1" i="97"/>
  <c r="D1" i="97"/>
  <c r="C1" i="97"/>
  <c r="B1" i="97"/>
  <c r="A8" i="96"/>
  <c r="A9" i="96" s="1"/>
  <c r="A10" i="96" s="1"/>
  <c r="A11" i="96" s="1"/>
  <c r="A12" i="96" s="1"/>
  <c r="A13" i="96" s="1"/>
  <c r="A14" i="96" s="1"/>
  <c r="A15" i="96" s="1"/>
  <c r="A16" i="96" s="1"/>
  <c r="A17" i="96" s="1"/>
  <c r="A18" i="96" s="1"/>
  <c r="A19" i="96" s="1"/>
  <c r="A20" i="96" s="1"/>
  <c r="A21" i="96" s="1"/>
  <c r="A22" i="96" s="1"/>
  <c r="A23" i="96" s="1"/>
  <c r="A24" i="96" s="1"/>
  <c r="A25" i="96" s="1"/>
  <c r="A26" i="96" s="1"/>
  <c r="A27" i="96" s="1"/>
  <c r="A28" i="96" s="1"/>
  <c r="A29" i="96" s="1"/>
  <c r="A30" i="96" s="1"/>
  <c r="A31" i="96" s="1"/>
  <c r="A32" i="96" s="1"/>
  <c r="A33" i="96" s="1"/>
  <c r="A34" i="96" s="1"/>
  <c r="A35" i="96" s="1"/>
  <c r="A36" i="96" s="1"/>
  <c r="A37" i="96" s="1"/>
  <c r="A38" i="96" s="1"/>
  <c r="A39" i="96" s="1"/>
  <c r="A40" i="96" s="1"/>
  <c r="A41" i="96" s="1"/>
  <c r="A42" i="96" s="1"/>
  <c r="A43" i="96" s="1"/>
  <c r="A44" i="96" s="1"/>
  <c r="A45" i="96" s="1"/>
  <c r="A46" i="96" s="1"/>
  <c r="A47" i="96" s="1"/>
  <c r="A48" i="96" s="1"/>
  <c r="A49" i="96" s="1"/>
  <c r="A50" i="96" s="1"/>
  <c r="A51" i="96" s="1"/>
  <c r="A52" i="96" s="1"/>
  <c r="A53" i="96" s="1"/>
  <c r="A54" i="96" s="1"/>
  <c r="A55" i="96" s="1"/>
  <c r="A56" i="96" s="1"/>
  <c r="A57" i="96" s="1"/>
  <c r="A58" i="96" s="1"/>
  <c r="A59" i="96" s="1"/>
  <c r="A60" i="96" s="1"/>
  <c r="A61" i="96" s="1"/>
  <c r="A62" i="96" s="1"/>
  <c r="A63" i="96" s="1"/>
  <c r="A64" i="96" s="1"/>
  <c r="A65" i="96" s="1"/>
  <c r="A66" i="96" s="1"/>
  <c r="A67" i="96" s="1"/>
  <c r="A68" i="96" s="1"/>
  <c r="A69" i="96" s="1"/>
  <c r="A70" i="96" s="1"/>
  <c r="A71" i="96" s="1"/>
  <c r="A72" i="96" s="1"/>
  <c r="A73" i="96" s="1"/>
  <c r="A74" i="96" s="1"/>
  <c r="A75" i="96" s="1"/>
  <c r="A76" i="96" s="1"/>
  <c r="A77" i="96" s="1"/>
  <c r="A78" i="96" s="1"/>
  <c r="A79" i="96" s="1"/>
  <c r="A80" i="96" s="1"/>
  <c r="A81" i="96" s="1"/>
  <c r="A82" i="96" s="1"/>
  <c r="A83" i="96" s="1"/>
  <c r="A84" i="96" s="1"/>
  <c r="A85" i="96" s="1"/>
  <c r="A86" i="96" s="1"/>
  <c r="A87" i="96" s="1"/>
  <c r="A88" i="96" s="1"/>
  <c r="A89" i="96" s="1"/>
  <c r="A90" i="96" s="1"/>
  <c r="A91" i="96" s="1"/>
  <c r="A7" i="96"/>
  <c r="F1" i="96"/>
  <c r="E1" i="96"/>
  <c r="D1" i="96"/>
  <c r="C1" i="96"/>
  <c r="B1" i="96"/>
  <c r="A8" i="95"/>
  <c r="A9" i="95" s="1"/>
  <c r="A10" i="95" s="1"/>
  <c r="A11" i="95" s="1"/>
  <c r="A12" i="95" s="1"/>
  <c r="A13" i="95" s="1"/>
  <c r="A14" i="95" s="1"/>
  <c r="A15" i="95" s="1"/>
  <c r="A16" i="95" s="1"/>
  <c r="A17" i="95" s="1"/>
  <c r="A18" i="95" s="1"/>
  <c r="A19" i="95" s="1"/>
  <c r="A20" i="95" s="1"/>
  <c r="A21" i="95" s="1"/>
  <c r="A22" i="95" s="1"/>
  <c r="A23" i="95" s="1"/>
  <c r="A24" i="95" s="1"/>
  <c r="A25" i="95" s="1"/>
  <c r="A26" i="95" s="1"/>
  <c r="A27" i="95" s="1"/>
  <c r="A28" i="95" s="1"/>
  <c r="A29" i="95" s="1"/>
  <c r="A30" i="95" s="1"/>
  <c r="A31" i="95" s="1"/>
  <c r="A32" i="95" s="1"/>
  <c r="A33" i="95" s="1"/>
  <c r="A34" i="95" s="1"/>
  <c r="A35" i="95" s="1"/>
  <c r="A36" i="95" s="1"/>
  <c r="A37" i="95" s="1"/>
  <c r="A38" i="95" s="1"/>
  <c r="A39" i="95" s="1"/>
  <c r="A40" i="95" s="1"/>
  <c r="A41" i="95" s="1"/>
  <c r="A42" i="95" s="1"/>
  <c r="A43" i="95" s="1"/>
  <c r="A44" i="95" s="1"/>
  <c r="A45" i="95" s="1"/>
  <c r="A46" i="95" s="1"/>
  <c r="A47" i="95" s="1"/>
  <c r="A48" i="95" s="1"/>
  <c r="A49" i="95" s="1"/>
  <c r="A50" i="95" s="1"/>
  <c r="A51" i="95" s="1"/>
  <c r="A52" i="95" s="1"/>
  <c r="A53" i="95" s="1"/>
  <c r="A54" i="95" s="1"/>
  <c r="A55" i="95" s="1"/>
  <c r="A56" i="95" s="1"/>
  <c r="A57" i="95" s="1"/>
  <c r="A58" i="95" s="1"/>
  <c r="A59" i="95" s="1"/>
  <c r="A60" i="95" s="1"/>
  <c r="A61" i="95" s="1"/>
  <c r="A62" i="95" s="1"/>
  <c r="A63" i="95" s="1"/>
  <c r="A64" i="95" s="1"/>
  <c r="A65" i="95" s="1"/>
  <c r="A66" i="95" s="1"/>
  <c r="A67" i="95" s="1"/>
  <c r="A68" i="95" s="1"/>
  <c r="A69" i="95" s="1"/>
  <c r="A70" i="95" s="1"/>
  <c r="A71" i="95" s="1"/>
  <c r="A72" i="95" s="1"/>
  <c r="A73" i="95" s="1"/>
  <c r="A74" i="95" s="1"/>
  <c r="A75" i="95" s="1"/>
  <c r="A76" i="95" s="1"/>
  <c r="A77" i="95" s="1"/>
  <c r="A78" i="95" s="1"/>
  <c r="A79" i="95" s="1"/>
  <c r="A80" i="95" s="1"/>
  <c r="A81" i="95" s="1"/>
  <c r="A82" i="95" s="1"/>
  <c r="A83" i="95" s="1"/>
  <c r="A84" i="95" s="1"/>
  <c r="A85" i="95" s="1"/>
  <c r="A86" i="95" s="1"/>
  <c r="A87" i="95" s="1"/>
  <c r="A88" i="95" s="1"/>
  <c r="A89" i="95" s="1"/>
  <c r="A90" i="95" s="1"/>
  <c r="A91" i="95" s="1"/>
  <c r="A7" i="95"/>
  <c r="F1" i="95"/>
  <c r="E1" i="95"/>
  <c r="D1" i="95"/>
  <c r="C1" i="95"/>
  <c r="B1" i="95"/>
  <c r="A8" i="81"/>
  <c r="A9" i="81" s="1"/>
  <c r="A10" i="81" s="1"/>
  <c r="A11" i="81" s="1"/>
  <c r="A12" i="81" s="1"/>
  <c r="A13" i="81" s="1"/>
  <c r="A14" i="81" s="1"/>
  <c r="A15" i="81" s="1"/>
  <c r="A16" i="81" s="1"/>
  <c r="A17" i="81" s="1"/>
  <c r="A18" i="81" s="1"/>
  <c r="A19" i="81" s="1"/>
  <c r="A20" i="81" s="1"/>
  <c r="A21" i="81" s="1"/>
  <c r="A22" i="81" s="1"/>
  <c r="A23" i="81" s="1"/>
  <c r="A24" i="81" s="1"/>
  <c r="A25" i="81" s="1"/>
  <c r="A26" i="81" s="1"/>
  <c r="A27" i="81" s="1"/>
  <c r="A28" i="81" s="1"/>
  <c r="A29" i="81" s="1"/>
  <c r="A30" i="81" s="1"/>
  <c r="A31" i="81" s="1"/>
  <c r="A32" i="81" s="1"/>
  <c r="A33" i="81" s="1"/>
  <c r="A34" i="81" s="1"/>
  <c r="A35" i="81" s="1"/>
  <c r="A36" i="81" s="1"/>
  <c r="A37" i="81" s="1"/>
  <c r="A38" i="81" s="1"/>
  <c r="A39" i="81" s="1"/>
  <c r="A40" i="81" s="1"/>
  <c r="A41" i="81" s="1"/>
  <c r="A42" i="81" s="1"/>
  <c r="A43" i="81" s="1"/>
  <c r="A44" i="81" s="1"/>
  <c r="A45" i="81" s="1"/>
  <c r="A46" i="81" s="1"/>
  <c r="A47" i="81" s="1"/>
  <c r="A48" i="81" s="1"/>
  <c r="A49" i="81" s="1"/>
  <c r="A50" i="81" s="1"/>
  <c r="A51" i="81" s="1"/>
  <c r="A52" i="81" s="1"/>
  <c r="A53" i="81" s="1"/>
  <c r="A54" i="81" s="1"/>
  <c r="A55" i="81" s="1"/>
  <c r="A56" i="81" s="1"/>
  <c r="A57" i="81" s="1"/>
  <c r="A58" i="81" s="1"/>
  <c r="A59" i="81" s="1"/>
  <c r="A60" i="81" s="1"/>
  <c r="A61" i="81" s="1"/>
  <c r="A62" i="81" s="1"/>
  <c r="A63" i="81" s="1"/>
  <c r="A64" i="81" s="1"/>
  <c r="A65" i="81" s="1"/>
  <c r="A66" i="81" s="1"/>
  <c r="A67" i="81" s="1"/>
  <c r="A68" i="81" s="1"/>
  <c r="A69" i="81" s="1"/>
  <c r="A70" i="81" s="1"/>
  <c r="A71" i="81" s="1"/>
  <c r="A72" i="81" s="1"/>
  <c r="A73" i="81" s="1"/>
  <c r="A74" i="81" s="1"/>
  <c r="A75" i="81" s="1"/>
  <c r="A76" i="81" s="1"/>
  <c r="A77" i="81" s="1"/>
  <c r="A78" i="81" s="1"/>
  <c r="A79" i="81" s="1"/>
  <c r="A80" i="81" s="1"/>
  <c r="A81" i="81" s="1"/>
  <c r="A82" i="81" s="1"/>
  <c r="A83" i="81" s="1"/>
  <c r="A84" i="81" s="1"/>
  <c r="A85" i="81" s="1"/>
  <c r="A86" i="81" s="1"/>
  <c r="A87" i="81" s="1"/>
  <c r="A88" i="81" s="1"/>
  <c r="A89" i="81" s="1"/>
  <c r="A90" i="81" s="1"/>
  <c r="A91" i="81" s="1"/>
  <c r="A7" i="81"/>
  <c r="F1" i="81"/>
  <c r="E1" i="81"/>
  <c r="D1" i="81"/>
  <c r="C1" i="81"/>
  <c r="B1" i="81"/>
  <c r="A8" i="80"/>
  <c r="A9" i="80" s="1"/>
  <c r="A10" i="80" s="1"/>
  <c r="A11" i="80" s="1"/>
  <c r="A12" i="80" s="1"/>
  <c r="A13" i="80" s="1"/>
  <c r="A14" i="80" s="1"/>
  <c r="A15" i="80" s="1"/>
  <c r="A16" i="80" s="1"/>
  <c r="A17" i="80" s="1"/>
  <c r="A18" i="80" s="1"/>
  <c r="A19" i="80" s="1"/>
  <c r="A20" i="80" s="1"/>
  <c r="A21" i="80" s="1"/>
  <c r="A22" i="80" s="1"/>
  <c r="A23" i="80" s="1"/>
  <c r="A24" i="80" s="1"/>
  <c r="A25" i="80" s="1"/>
  <c r="A26" i="80" s="1"/>
  <c r="A27" i="80" s="1"/>
  <c r="A28" i="80" s="1"/>
  <c r="A29" i="80" s="1"/>
  <c r="A30" i="80" s="1"/>
  <c r="A31" i="80" s="1"/>
  <c r="A32" i="80" s="1"/>
  <c r="A33" i="80" s="1"/>
  <c r="A34" i="80" s="1"/>
  <c r="A35" i="80" s="1"/>
  <c r="A36" i="80" s="1"/>
  <c r="A37" i="80" s="1"/>
  <c r="A38" i="80" s="1"/>
  <c r="A39" i="80" s="1"/>
  <c r="A40" i="80" s="1"/>
  <c r="A41" i="80" s="1"/>
  <c r="A42" i="80" s="1"/>
  <c r="A43" i="80" s="1"/>
  <c r="A44" i="80" s="1"/>
  <c r="A45" i="80" s="1"/>
  <c r="A46" i="80" s="1"/>
  <c r="A47" i="80" s="1"/>
  <c r="A48" i="80" s="1"/>
  <c r="A49" i="80" s="1"/>
  <c r="A50" i="80" s="1"/>
  <c r="A51" i="80" s="1"/>
  <c r="A52" i="80" s="1"/>
  <c r="A53" i="80" s="1"/>
  <c r="A54" i="80" s="1"/>
  <c r="A55" i="80" s="1"/>
  <c r="A56" i="80" s="1"/>
  <c r="A57" i="80" s="1"/>
  <c r="A58" i="80" s="1"/>
  <c r="A59" i="80" s="1"/>
  <c r="A60" i="80" s="1"/>
  <c r="A61" i="80" s="1"/>
  <c r="A62" i="80" s="1"/>
  <c r="A63" i="80" s="1"/>
  <c r="A64" i="80" s="1"/>
  <c r="A65" i="80" s="1"/>
  <c r="A66" i="80" s="1"/>
  <c r="A67" i="80" s="1"/>
  <c r="A68" i="80" s="1"/>
  <c r="A69" i="80" s="1"/>
  <c r="A70" i="80" s="1"/>
  <c r="A71" i="80" s="1"/>
  <c r="A72" i="80" s="1"/>
  <c r="A73" i="80" s="1"/>
  <c r="A74" i="80" s="1"/>
  <c r="A75" i="80" s="1"/>
  <c r="A76" i="80" s="1"/>
  <c r="A77" i="80" s="1"/>
  <c r="A78" i="80" s="1"/>
  <c r="A79" i="80" s="1"/>
  <c r="A80" i="80" s="1"/>
  <c r="A81" i="80" s="1"/>
  <c r="A82" i="80" s="1"/>
  <c r="A83" i="80" s="1"/>
  <c r="A84" i="80" s="1"/>
  <c r="A85" i="80" s="1"/>
  <c r="A86" i="80" s="1"/>
  <c r="A87" i="80" s="1"/>
  <c r="A88" i="80" s="1"/>
  <c r="A89" i="80" s="1"/>
  <c r="A90" i="80" s="1"/>
  <c r="A91" i="80" s="1"/>
  <c r="A7" i="80"/>
  <c r="F1" i="80"/>
  <c r="E1" i="80"/>
  <c r="D1" i="80"/>
  <c r="C1" i="80"/>
  <c r="B1" i="80"/>
  <c r="A8" i="79"/>
  <c r="A9" i="79" s="1"/>
  <c r="A10" i="79" s="1"/>
  <c r="A11" i="79" s="1"/>
  <c r="A12" i="79" s="1"/>
  <c r="A13" i="79" s="1"/>
  <c r="A14" i="79" s="1"/>
  <c r="A15" i="79" s="1"/>
  <c r="A16" i="79" s="1"/>
  <c r="A17" i="79" s="1"/>
  <c r="A18" i="79" s="1"/>
  <c r="A19" i="79" s="1"/>
  <c r="A20" i="79" s="1"/>
  <c r="A21" i="79" s="1"/>
  <c r="A22" i="79" s="1"/>
  <c r="A23" i="79" s="1"/>
  <c r="A24" i="79" s="1"/>
  <c r="A25" i="79" s="1"/>
  <c r="A26" i="79" s="1"/>
  <c r="A27" i="79" s="1"/>
  <c r="A28" i="79" s="1"/>
  <c r="A29" i="79" s="1"/>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A58" i="79" s="1"/>
  <c r="A59" i="79" s="1"/>
  <c r="A60" i="79" s="1"/>
  <c r="A61" i="79" s="1"/>
  <c r="A62" i="79" s="1"/>
  <c r="A63" i="79" s="1"/>
  <c r="A64" i="79" s="1"/>
  <c r="A65" i="79" s="1"/>
  <c r="A66" i="79" s="1"/>
  <c r="A67" i="79" s="1"/>
  <c r="A68" i="79" s="1"/>
  <c r="A69" i="79" s="1"/>
  <c r="A70" i="79" s="1"/>
  <c r="A71" i="79" s="1"/>
  <c r="A72" i="79" s="1"/>
  <c r="A73" i="79" s="1"/>
  <c r="A74" i="79" s="1"/>
  <c r="A75" i="79" s="1"/>
  <c r="A76" i="79" s="1"/>
  <c r="A77" i="79" s="1"/>
  <c r="A78" i="79" s="1"/>
  <c r="A79" i="79" s="1"/>
  <c r="A80" i="79" s="1"/>
  <c r="A81" i="79" s="1"/>
  <c r="A82" i="79" s="1"/>
  <c r="A83" i="79" s="1"/>
  <c r="A84" i="79" s="1"/>
  <c r="A85" i="79" s="1"/>
  <c r="A86" i="79" s="1"/>
  <c r="A87" i="79" s="1"/>
  <c r="A88" i="79" s="1"/>
  <c r="A89" i="79" s="1"/>
  <c r="A90" i="79" s="1"/>
  <c r="A91" i="79" s="1"/>
  <c r="A7" i="79"/>
  <c r="F1" i="79"/>
  <c r="E1" i="79"/>
  <c r="D1" i="79"/>
  <c r="C1" i="79"/>
  <c r="B1" i="79"/>
  <c r="A8" i="78"/>
  <c r="A9" i="78" s="1"/>
  <c r="A10" i="78" s="1"/>
  <c r="A11" i="78" s="1"/>
  <c r="A12" i="78" s="1"/>
  <c r="A13" i="78" s="1"/>
  <c r="A14" i="78" s="1"/>
  <c r="A15" i="78" s="1"/>
  <c r="A16" i="78" s="1"/>
  <c r="A17" i="78" s="1"/>
  <c r="A18" i="78" s="1"/>
  <c r="A19" i="78" s="1"/>
  <c r="A20" i="78" s="1"/>
  <c r="A21" i="78" s="1"/>
  <c r="A22" i="78" s="1"/>
  <c r="A23" i="78" s="1"/>
  <c r="A24" i="78" s="1"/>
  <c r="A25" i="78" s="1"/>
  <c r="A26" i="78" s="1"/>
  <c r="A27" i="78" s="1"/>
  <c r="A28" i="78" s="1"/>
  <c r="A29" i="78" s="1"/>
  <c r="A30" i="78" s="1"/>
  <c r="A31" i="78" s="1"/>
  <c r="A32" i="78" s="1"/>
  <c r="A33" i="78" s="1"/>
  <c r="A34" i="78" s="1"/>
  <c r="A35" i="78" s="1"/>
  <c r="A36" i="78" s="1"/>
  <c r="A37" i="78" s="1"/>
  <c r="A38" i="78" s="1"/>
  <c r="A39" i="78" s="1"/>
  <c r="A40" i="78" s="1"/>
  <c r="A41" i="78" s="1"/>
  <c r="A42" i="78" s="1"/>
  <c r="A43" i="78" s="1"/>
  <c r="A44" i="78" s="1"/>
  <c r="A45" i="78" s="1"/>
  <c r="A46" i="78" s="1"/>
  <c r="A47" i="78" s="1"/>
  <c r="A48" i="78" s="1"/>
  <c r="A49" i="78" s="1"/>
  <c r="A50" i="78" s="1"/>
  <c r="A51" i="78" s="1"/>
  <c r="A52" i="78" s="1"/>
  <c r="A53" i="78" s="1"/>
  <c r="A54" i="78" s="1"/>
  <c r="A55" i="78" s="1"/>
  <c r="A56" i="78" s="1"/>
  <c r="A57" i="78" s="1"/>
  <c r="A58" i="78" s="1"/>
  <c r="A59" i="78" s="1"/>
  <c r="A60" i="78" s="1"/>
  <c r="A61" i="78" s="1"/>
  <c r="A62" i="78" s="1"/>
  <c r="A63" i="78" s="1"/>
  <c r="A64" i="78" s="1"/>
  <c r="A65" i="78" s="1"/>
  <c r="A66" i="78" s="1"/>
  <c r="A67" i="78" s="1"/>
  <c r="A68" i="78" s="1"/>
  <c r="A69" i="78" s="1"/>
  <c r="A70" i="78" s="1"/>
  <c r="A71" i="78" s="1"/>
  <c r="A72" i="78" s="1"/>
  <c r="A73" i="78" s="1"/>
  <c r="A74" i="78" s="1"/>
  <c r="A75" i="78" s="1"/>
  <c r="A76" i="78" s="1"/>
  <c r="A77" i="78" s="1"/>
  <c r="A78" i="78" s="1"/>
  <c r="A79" i="78" s="1"/>
  <c r="A80" i="78" s="1"/>
  <c r="A81" i="78" s="1"/>
  <c r="A82" i="78" s="1"/>
  <c r="A83" i="78" s="1"/>
  <c r="A84" i="78" s="1"/>
  <c r="A85" i="78" s="1"/>
  <c r="A86" i="78" s="1"/>
  <c r="A87" i="78" s="1"/>
  <c r="A88" i="78" s="1"/>
  <c r="A89" i="78" s="1"/>
  <c r="A90" i="78" s="1"/>
  <c r="A91" i="78" s="1"/>
  <c r="A7" i="78"/>
  <c r="F1" i="78"/>
  <c r="E1" i="78"/>
  <c r="D1" i="78"/>
  <c r="C1" i="78"/>
  <c r="B1" i="78"/>
  <c r="A8" i="77"/>
  <c r="A9" i="77" s="1"/>
  <c r="A10" i="77" s="1"/>
  <c r="A11" i="77" s="1"/>
  <c r="A12" i="77" s="1"/>
  <c r="A13" i="77" s="1"/>
  <c r="A14" i="77" s="1"/>
  <c r="A15" i="77" s="1"/>
  <c r="A16" i="77" s="1"/>
  <c r="A17" i="77" s="1"/>
  <c r="A18" i="77" s="1"/>
  <c r="A19" i="77" s="1"/>
  <c r="A20" i="77" s="1"/>
  <c r="A21" i="77" s="1"/>
  <c r="A22" i="77" s="1"/>
  <c r="A23" i="77" s="1"/>
  <c r="A24" i="77" s="1"/>
  <c r="A25" i="77" s="1"/>
  <c r="A26" i="77" s="1"/>
  <c r="A27" i="77" s="1"/>
  <c r="A28" i="77" s="1"/>
  <c r="A29" i="77" s="1"/>
  <c r="A30" i="77" s="1"/>
  <c r="A31" i="77" s="1"/>
  <c r="A32" i="77" s="1"/>
  <c r="A33" i="77" s="1"/>
  <c r="A34" i="77" s="1"/>
  <c r="A35" i="77" s="1"/>
  <c r="A36" i="77" s="1"/>
  <c r="A37" i="77" s="1"/>
  <c r="A38" i="77" s="1"/>
  <c r="A39" i="77" s="1"/>
  <c r="A40" i="77" s="1"/>
  <c r="A41" i="77" s="1"/>
  <c r="A42" i="77" s="1"/>
  <c r="A43" i="77" s="1"/>
  <c r="A44" i="77" s="1"/>
  <c r="A45" i="77" s="1"/>
  <c r="A46" i="77" s="1"/>
  <c r="A47" i="77" s="1"/>
  <c r="A48" i="77" s="1"/>
  <c r="A49" i="77" s="1"/>
  <c r="A50" i="77" s="1"/>
  <c r="A51" i="77" s="1"/>
  <c r="A52" i="77" s="1"/>
  <c r="A53" i="77" s="1"/>
  <c r="A54" i="77" s="1"/>
  <c r="A55" i="77" s="1"/>
  <c r="A56" i="77" s="1"/>
  <c r="A57" i="77" s="1"/>
  <c r="A58" i="77" s="1"/>
  <c r="A59" i="77" s="1"/>
  <c r="A60" i="77" s="1"/>
  <c r="A61" i="77" s="1"/>
  <c r="A62" i="77" s="1"/>
  <c r="A63" i="77" s="1"/>
  <c r="A64" i="77" s="1"/>
  <c r="A65" i="77" s="1"/>
  <c r="A66" i="77" s="1"/>
  <c r="A67" i="77" s="1"/>
  <c r="A68" i="77" s="1"/>
  <c r="A69" i="77" s="1"/>
  <c r="A70" i="77" s="1"/>
  <c r="A71" i="77" s="1"/>
  <c r="A72" i="77" s="1"/>
  <c r="A73" i="77" s="1"/>
  <c r="A74" i="77" s="1"/>
  <c r="A75" i="77" s="1"/>
  <c r="A76" i="77" s="1"/>
  <c r="A77" i="77" s="1"/>
  <c r="A78" i="77" s="1"/>
  <c r="A79" i="77" s="1"/>
  <c r="A80" i="77" s="1"/>
  <c r="A81" i="77" s="1"/>
  <c r="A82" i="77" s="1"/>
  <c r="A83" i="77" s="1"/>
  <c r="A84" i="77" s="1"/>
  <c r="A85" i="77" s="1"/>
  <c r="A86" i="77" s="1"/>
  <c r="A87" i="77" s="1"/>
  <c r="A88" i="77" s="1"/>
  <c r="A89" i="77" s="1"/>
  <c r="A90" i="77" s="1"/>
  <c r="A91" i="77" s="1"/>
  <c r="A7" i="77"/>
  <c r="F1" i="77"/>
  <c r="E1" i="77"/>
  <c r="D1" i="77"/>
  <c r="C1" i="77"/>
  <c r="B1" i="77"/>
  <c r="A8" i="76"/>
  <c r="A9" i="76" s="1"/>
  <c r="A10" i="76" s="1"/>
  <c r="A11" i="76" s="1"/>
  <c r="A12" i="76" s="1"/>
  <c r="A13" i="76" s="1"/>
  <c r="A14" i="76" s="1"/>
  <c r="A15" i="76" s="1"/>
  <c r="A16" i="76" s="1"/>
  <c r="A17" i="76" s="1"/>
  <c r="A18" i="76" s="1"/>
  <c r="A19" i="76" s="1"/>
  <c r="A20" i="76" s="1"/>
  <c r="A21" i="76" s="1"/>
  <c r="A22" i="76" s="1"/>
  <c r="A23" i="76" s="1"/>
  <c r="A24" i="76" s="1"/>
  <c r="A25" i="76" s="1"/>
  <c r="A26" i="76" s="1"/>
  <c r="A27" i="76" s="1"/>
  <c r="A28" i="76" s="1"/>
  <c r="A29" i="76" s="1"/>
  <c r="A30" i="76" s="1"/>
  <c r="A31" i="76" s="1"/>
  <c r="A32" i="76" s="1"/>
  <c r="A33" i="76" s="1"/>
  <c r="A34" i="76" s="1"/>
  <c r="A35" i="76" s="1"/>
  <c r="A36" i="76" s="1"/>
  <c r="A37" i="76" s="1"/>
  <c r="A38" i="76" s="1"/>
  <c r="A39" i="76" s="1"/>
  <c r="A40" i="76" s="1"/>
  <c r="A41" i="76" s="1"/>
  <c r="A42" i="76" s="1"/>
  <c r="A43" i="76" s="1"/>
  <c r="A44" i="76" s="1"/>
  <c r="A45" i="76" s="1"/>
  <c r="A46" i="76" s="1"/>
  <c r="A47" i="76" s="1"/>
  <c r="A48" i="76" s="1"/>
  <c r="A49" i="76" s="1"/>
  <c r="A50" i="76" s="1"/>
  <c r="A51" i="76" s="1"/>
  <c r="A52" i="76" s="1"/>
  <c r="A53" i="76" s="1"/>
  <c r="A54" i="76" s="1"/>
  <c r="A55" i="76" s="1"/>
  <c r="A56" i="76" s="1"/>
  <c r="A57" i="76" s="1"/>
  <c r="A58" i="76" s="1"/>
  <c r="A59" i="76" s="1"/>
  <c r="A60" i="76" s="1"/>
  <c r="A61" i="76" s="1"/>
  <c r="A62" i="76" s="1"/>
  <c r="A63" i="76" s="1"/>
  <c r="A64" i="76" s="1"/>
  <c r="A65" i="76" s="1"/>
  <c r="A66" i="76" s="1"/>
  <c r="A67" i="76" s="1"/>
  <c r="A68" i="76" s="1"/>
  <c r="A69" i="76" s="1"/>
  <c r="A70" i="76" s="1"/>
  <c r="A71" i="76" s="1"/>
  <c r="A72" i="76" s="1"/>
  <c r="A73" i="76" s="1"/>
  <c r="A74" i="76" s="1"/>
  <c r="A75" i="76" s="1"/>
  <c r="A76" i="76" s="1"/>
  <c r="A77" i="76" s="1"/>
  <c r="A78" i="76" s="1"/>
  <c r="A79" i="76" s="1"/>
  <c r="A80" i="76" s="1"/>
  <c r="A81" i="76" s="1"/>
  <c r="A82" i="76" s="1"/>
  <c r="A83" i="76" s="1"/>
  <c r="A84" i="76" s="1"/>
  <c r="A85" i="76" s="1"/>
  <c r="A86" i="76" s="1"/>
  <c r="A87" i="76" s="1"/>
  <c r="A88" i="76" s="1"/>
  <c r="A89" i="76" s="1"/>
  <c r="A90" i="76" s="1"/>
  <c r="A91" i="76" s="1"/>
  <c r="A7" i="76"/>
  <c r="F1" i="76"/>
  <c r="E1" i="76"/>
  <c r="D1" i="76"/>
  <c r="C1" i="76"/>
  <c r="B1" i="76"/>
  <c r="A8" i="94"/>
  <c r="A9" i="94" s="1"/>
  <c r="A10" i="94" s="1"/>
  <c r="A11" i="94" s="1"/>
  <c r="A12" i="94" s="1"/>
  <c r="A13" i="94" s="1"/>
  <c r="A14" i="94" s="1"/>
  <c r="A15" i="94" s="1"/>
  <c r="A16" i="94" s="1"/>
  <c r="A17" i="94" s="1"/>
  <c r="A18" i="94" s="1"/>
  <c r="A19" i="94" s="1"/>
  <c r="A20" i="94" s="1"/>
  <c r="A21" i="94" s="1"/>
  <c r="A22" i="94" s="1"/>
  <c r="A23" i="94" s="1"/>
  <c r="A24" i="94" s="1"/>
  <c r="A25" i="94" s="1"/>
  <c r="A26" i="94" s="1"/>
  <c r="A27" i="94" s="1"/>
  <c r="A28" i="94" s="1"/>
  <c r="A29" i="94" s="1"/>
  <c r="A30" i="94" s="1"/>
  <c r="A31" i="94" s="1"/>
  <c r="A32" i="94" s="1"/>
  <c r="A33" i="94" s="1"/>
  <c r="A34" i="94" s="1"/>
  <c r="A35" i="94" s="1"/>
  <c r="A36" i="94" s="1"/>
  <c r="A37" i="94" s="1"/>
  <c r="A38" i="94" s="1"/>
  <c r="A39" i="94" s="1"/>
  <c r="A40" i="94" s="1"/>
  <c r="A41" i="94" s="1"/>
  <c r="A42" i="94" s="1"/>
  <c r="A43" i="94" s="1"/>
  <c r="A44" i="94" s="1"/>
  <c r="A45" i="94" s="1"/>
  <c r="A46" i="94" s="1"/>
  <c r="A47" i="94" s="1"/>
  <c r="A48" i="94" s="1"/>
  <c r="A49" i="94" s="1"/>
  <c r="A50" i="94" s="1"/>
  <c r="A51" i="94" s="1"/>
  <c r="A52" i="94" s="1"/>
  <c r="A53" i="94" s="1"/>
  <c r="A54" i="94" s="1"/>
  <c r="A55" i="94" s="1"/>
  <c r="A56" i="94" s="1"/>
  <c r="A57" i="94" s="1"/>
  <c r="A58" i="94" s="1"/>
  <c r="A59" i="94" s="1"/>
  <c r="A60" i="94" s="1"/>
  <c r="A61" i="94" s="1"/>
  <c r="A62" i="94" s="1"/>
  <c r="A63" i="94" s="1"/>
  <c r="A64" i="94" s="1"/>
  <c r="A65" i="94" s="1"/>
  <c r="A66" i="94" s="1"/>
  <c r="A67" i="94" s="1"/>
  <c r="A68" i="94" s="1"/>
  <c r="A69" i="94" s="1"/>
  <c r="A70" i="94" s="1"/>
  <c r="A71" i="94" s="1"/>
  <c r="A72" i="94" s="1"/>
  <c r="A73" i="94" s="1"/>
  <c r="A74" i="94" s="1"/>
  <c r="A75" i="94" s="1"/>
  <c r="A76" i="94" s="1"/>
  <c r="A77" i="94" s="1"/>
  <c r="A78" i="94" s="1"/>
  <c r="A79" i="94" s="1"/>
  <c r="A80" i="94" s="1"/>
  <c r="A81" i="94" s="1"/>
  <c r="A82" i="94" s="1"/>
  <c r="A83" i="94" s="1"/>
  <c r="A84" i="94" s="1"/>
  <c r="A85" i="94" s="1"/>
  <c r="A86" i="94" s="1"/>
  <c r="A87" i="94" s="1"/>
  <c r="A88" i="94" s="1"/>
  <c r="A89" i="94" s="1"/>
  <c r="A90" i="94" s="1"/>
  <c r="A91" i="94" s="1"/>
  <c r="A7" i="94"/>
  <c r="F1" i="94"/>
  <c r="E1" i="94"/>
  <c r="D1" i="94"/>
  <c r="C1" i="94"/>
  <c r="B1" i="94"/>
  <c r="A8" i="93"/>
  <c r="A9" i="93" s="1"/>
  <c r="A10" i="93" s="1"/>
  <c r="A11" i="93" s="1"/>
  <c r="A12" i="93" s="1"/>
  <c r="A13" i="93" s="1"/>
  <c r="A14" i="93" s="1"/>
  <c r="A15" i="93" s="1"/>
  <c r="A16" i="93" s="1"/>
  <c r="A17" i="93" s="1"/>
  <c r="A18" i="93" s="1"/>
  <c r="A19" i="93" s="1"/>
  <c r="A20" i="93" s="1"/>
  <c r="A21" i="93" s="1"/>
  <c r="A22" i="93" s="1"/>
  <c r="A23" i="93" s="1"/>
  <c r="A24" i="93" s="1"/>
  <c r="A25" i="93" s="1"/>
  <c r="A26" i="93" s="1"/>
  <c r="A27" i="93" s="1"/>
  <c r="A28" i="93" s="1"/>
  <c r="A29" i="93" s="1"/>
  <c r="A30" i="93" s="1"/>
  <c r="A31" i="93" s="1"/>
  <c r="A32" i="93" s="1"/>
  <c r="A33" i="93" s="1"/>
  <c r="A34" i="93" s="1"/>
  <c r="A35" i="93" s="1"/>
  <c r="A36" i="93" s="1"/>
  <c r="A37" i="93" s="1"/>
  <c r="A38" i="93" s="1"/>
  <c r="A39" i="93" s="1"/>
  <c r="A40" i="93" s="1"/>
  <c r="A41" i="93" s="1"/>
  <c r="A42" i="93" s="1"/>
  <c r="A43" i="93" s="1"/>
  <c r="A44" i="93" s="1"/>
  <c r="A45" i="93" s="1"/>
  <c r="A46" i="93" s="1"/>
  <c r="A47" i="93" s="1"/>
  <c r="A48" i="93" s="1"/>
  <c r="A49" i="93" s="1"/>
  <c r="A50" i="93" s="1"/>
  <c r="A51" i="93" s="1"/>
  <c r="A52" i="93" s="1"/>
  <c r="A53" i="93" s="1"/>
  <c r="A54" i="93" s="1"/>
  <c r="A55" i="93" s="1"/>
  <c r="A56" i="93" s="1"/>
  <c r="A57" i="93" s="1"/>
  <c r="A58" i="93" s="1"/>
  <c r="A59" i="93" s="1"/>
  <c r="A60" i="93" s="1"/>
  <c r="A61" i="93" s="1"/>
  <c r="A62" i="93" s="1"/>
  <c r="A63" i="93" s="1"/>
  <c r="A64" i="93" s="1"/>
  <c r="A65" i="93" s="1"/>
  <c r="A66" i="93" s="1"/>
  <c r="A67" i="93" s="1"/>
  <c r="A68" i="93" s="1"/>
  <c r="A69" i="93" s="1"/>
  <c r="A70" i="93" s="1"/>
  <c r="A71" i="93" s="1"/>
  <c r="A72" i="93" s="1"/>
  <c r="A73" i="93" s="1"/>
  <c r="A74" i="93" s="1"/>
  <c r="A75" i="93" s="1"/>
  <c r="A76" i="93" s="1"/>
  <c r="A77" i="93" s="1"/>
  <c r="A78" i="93" s="1"/>
  <c r="A79" i="93" s="1"/>
  <c r="A80" i="93" s="1"/>
  <c r="A81" i="93" s="1"/>
  <c r="A82" i="93" s="1"/>
  <c r="A83" i="93" s="1"/>
  <c r="A84" i="93" s="1"/>
  <c r="A85" i="93" s="1"/>
  <c r="A86" i="93" s="1"/>
  <c r="A87" i="93" s="1"/>
  <c r="A88" i="93" s="1"/>
  <c r="A89" i="93" s="1"/>
  <c r="A90" i="93" s="1"/>
  <c r="A91" i="93" s="1"/>
  <c r="A7" i="93"/>
  <c r="F1" i="93"/>
  <c r="E1" i="93"/>
  <c r="D1" i="93"/>
  <c r="C1" i="93"/>
  <c r="B1" i="93"/>
  <c r="A8" i="92"/>
  <c r="A9" i="92" s="1"/>
  <c r="A10" i="92" s="1"/>
  <c r="A11" i="92" s="1"/>
  <c r="A12" i="92" s="1"/>
  <c r="A13" i="92" s="1"/>
  <c r="A14" i="92" s="1"/>
  <c r="A15" i="92" s="1"/>
  <c r="A16" i="92" s="1"/>
  <c r="A17" i="92" s="1"/>
  <c r="A18" i="92" s="1"/>
  <c r="A19" i="92" s="1"/>
  <c r="A20" i="92" s="1"/>
  <c r="A21" i="92" s="1"/>
  <c r="A22" i="92" s="1"/>
  <c r="A23" i="92" s="1"/>
  <c r="A24" i="92" s="1"/>
  <c r="A25" i="92" s="1"/>
  <c r="A26" i="92" s="1"/>
  <c r="A27" i="92" s="1"/>
  <c r="A28" i="92" s="1"/>
  <c r="A29" i="92" s="1"/>
  <c r="A30" i="92" s="1"/>
  <c r="A31" i="92" s="1"/>
  <c r="A32" i="92" s="1"/>
  <c r="A33" i="92" s="1"/>
  <c r="A34" i="92" s="1"/>
  <c r="A35" i="92" s="1"/>
  <c r="A36" i="92" s="1"/>
  <c r="A37" i="92" s="1"/>
  <c r="A38" i="92" s="1"/>
  <c r="A39" i="92" s="1"/>
  <c r="A40" i="92" s="1"/>
  <c r="A41" i="92" s="1"/>
  <c r="A42" i="92" s="1"/>
  <c r="A43" i="92" s="1"/>
  <c r="A44" i="92" s="1"/>
  <c r="A45" i="92" s="1"/>
  <c r="A46" i="92" s="1"/>
  <c r="A47" i="92" s="1"/>
  <c r="A48" i="92" s="1"/>
  <c r="A49" i="92" s="1"/>
  <c r="A50" i="92" s="1"/>
  <c r="A51" i="92" s="1"/>
  <c r="A52" i="92" s="1"/>
  <c r="A53" i="92" s="1"/>
  <c r="A54" i="92" s="1"/>
  <c r="A55" i="92" s="1"/>
  <c r="A56" i="92" s="1"/>
  <c r="A57" i="92" s="1"/>
  <c r="A58" i="92" s="1"/>
  <c r="A59" i="92" s="1"/>
  <c r="A60" i="92" s="1"/>
  <c r="A61" i="92" s="1"/>
  <c r="A62" i="92" s="1"/>
  <c r="A63" i="92" s="1"/>
  <c r="A64" i="92" s="1"/>
  <c r="A65" i="92" s="1"/>
  <c r="A66" i="92" s="1"/>
  <c r="A67" i="92" s="1"/>
  <c r="A68" i="92" s="1"/>
  <c r="A69" i="92" s="1"/>
  <c r="A70" i="92" s="1"/>
  <c r="A71" i="92" s="1"/>
  <c r="A72" i="92" s="1"/>
  <c r="A73" i="92" s="1"/>
  <c r="A74" i="92" s="1"/>
  <c r="A75" i="92" s="1"/>
  <c r="A76" i="92" s="1"/>
  <c r="A77" i="92" s="1"/>
  <c r="A78" i="92" s="1"/>
  <c r="A79" i="92" s="1"/>
  <c r="A80" i="92" s="1"/>
  <c r="A81" i="92" s="1"/>
  <c r="A82" i="92" s="1"/>
  <c r="A83" i="92" s="1"/>
  <c r="A84" i="92" s="1"/>
  <c r="A85" i="92" s="1"/>
  <c r="A86" i="92" s="1"/>
  <c r="A87" i="92" s="1"/>
  <c r="A88" i="92" s="1"/>
  <c r="A89" i="92" s="1"/>
  <c r="A90" i="92" s="1"/>
  <c r="A91" i="92" s="1"/>
  <c r="A7" i="92"/>
  <c r="F1" i="92"/>
  <c r="E1" i="92"/>
  <c r="D1" i="92"/>
  <c r="C1" i="92"/>
  <c r="B1" i="92"/>
  <c r="A8" i="91"/>
  <c r="A9" i="91" s="1"/>
  <c r="A10" i="91" s="1"/>
  <c r="A11" i="91" s="1"/>
  <c r="A12" i="91" s="1"/>
  <c r="A13" i="91" s="1"/>
  <c r="A14" i="91" s="1"/>
  <c r="A15" i="91" s="1"/>
  <c r="A16" i="91" s="1"/>
  <c r="A17" i="91" s="1"/>
  <c r="A18" i="91" s="1"/>
  <c r="A19" i="91" s="1"/>
  <c r="A20" i="91" s="1"/>
  <c r="A21" i="91" s="1"/>
  <c r="A22" i="91" s="1"/>
  <c r="A23" i="91" s="1"/>
  <c r="A24" i="91" s="1"/>
  <c r="A25" i="91" s="1"/>
  <c r="A26" i="91" s="1"/>
  <c r="A27" i="91" s="1"/>
  <c r="A28" i="91" s="1"/>
  <c r="A29" i="91" s="1"/>
  <c r="A30" i="91" s="1"/>
  <c r="A31" i="91" s="1"/>
  <c r="A32" i="91" s="1"/>
  <c r="A33" i="91" s="1"/>
  <c r="A34" i="91" s="1"/>
  <c r="A35" i="91" s="1"/>
  <c r="A36" i="91" s="1"/>
  <c r="A37" i="91" s="1"/>
  <c r="A38" i="91" s="1"/>
  <c r="A39" i="91" s="1"/>
  <c r="A40" i="91" s="1"/>
  <c r="A41" i="91" s="1"/>
  <c r="A42" i="91" s="1"/>
  <c r="A43" i="91" s="1"/>
  <c r="A44" i="91" s="1"/>
  <c r="A45" i="91" s="1"/>
  <c r="A46" i="91" s="1"/>
  <c r="A47" i="91" s="1"/>
  <c r="A48" i="91" s="1"/>
  <c r="A49" i="91" s="1"/>
  <c r="A50" i="91" s="1"/>
  <c r="A51" i="91" s="1"/>
  <c r="A52" i="91" s="1"/>
  <c r="A53" i="91" s="1"/>
  <c r="A54" i="91" s="1"/>
  <c r="A55" i="91" s="1"/>
  <c r="A56" i="91" s="1"/>
  <c r="A57" i="91" s="1"/>
  <c r="A58" i="91" s="1"/>
  <c r="A59" i="91" s="1"/>
  <c r="A60" i="91" s="1"/>
  <c r="A61" i="91" s="1"/>
  <c r="A62" i="91" s="1"/>
  <c r="A63" i="91" s="1"/>
  <c r="A64" i="91" s="1"/>
  <c r="A65" i="91" s="1"/>
  <c r="A66" i="91" s="1"/>
  <c r="A67" i="91" s="1"/>
  <c r="A68" i="91" s="1"/>
  <c r="A69" i="91" s="1"/>
  <c r="A70" i="91" s="1"/>
  <c r="A71" i="91" s="1"/>
  <c r="A72" i="91" s="1"/>
  <c r="A73" i="91" s="1"/>
  <c r="A74" i="91" s="1"/>
  <c r="A75" i="91" s="1"/>
  <c r="A76" i="91" s="1"/>
  <c r="A77" i="91" s="1"/>
  <c r="A78" i="91" s="1"/>
  <c r="A79" i="91" s="1"/>
  <c r="A80" i="91" s="1"/>
  <c r="A81" i="91" s="1"/>
  <c r="A82" i="91" s="1"/>
  <c r="A83" i="91" s="1"/>
  <c r="A84" i="91" s="1"/>
  <c r="A85" i="91" s="1"/>
  <c r="A86" i="91" s="1"/>
  <c r="A87" i="91" s="1"/>
  <c r="A88" i="91" s="1"/>
  <c r="A89" i="91" s="1"/>
  <c r="A90" i="91" s="1"/>
  <c r="A91" i="91" s="1"/>
  <c r="A7" i="91"/>
  <c r="F1" i="91"/>
  <c r="E1" i="91"/>
  <c r="D1" i="91"/>
  <c r="C1" i="91"/>
  <c r="B1" i="91"/>
  <c r="A8" i="90"/>
  <c r="A9" i="90" s="1"/>
  <c r="A10" i="90" s="1"/>
  <c r="A11" i="90" s="1"/>
  <c r="A12" i="90" s="1"/>
  <c r="A13" i="90" s="1"/>
  <c r="A14" i="90" s="1"/>
  <c r="A15" i="90" s="1"/>
  <c r="A16" i="90" s="1"/>
  <c r="A17" i="90" s="1"/>
  <c r="A18" i="90" s="1"/>
  <c r="A19" i="90" s="1"/>
  <c r="A20" i="90" s="1"/>
  <c r="A21" i="90" s="1"/>
  <c r="A22" i="90" s="1"/>
  <c r="A23" i="90" s="1"/>
  <c r="A24" i="90" s="1"/>
  <c r="A25" i="90" s="1"/>
  <c r="A26" i="90" s="1"/>
  <c r="A27" i="90" s="1"/>
  <c r="A28" i="90" s="1"/>
  <c r="A29" i="90" s="1"/>
  <c r="A30" i="90" s="1"/>
  <c r="A31" i="90" s="1"/>
  <c r="A32" i="90" s="1"/>
  <c r="A33" i="90" s="1"/>
  <c r="A34" i="90" s="1"/>
  <c r="A35" i="90" s="1"/>
  <c r="A36" i="90" s="1"/>
  <c r="A37" i="90" s="1"/>
  <c r="A38" i="90" s="1"/>
  <c r="A39" i="90" s="1"/>
  <c r="A40" i="90" s="1"/>
  <c r="A41" i="90" s="1"/>
  <c r="A42" i="90" s="1"/>
  <c r="A43" i="90" s="1"/>
  <c r="A44" i="90" s="1"/>
  <c r="A45" i="90" s="1"/>
  <c r="A46" i="90" s="1"/>
  <c r="A47" i="90" s="1"/>
  <c r="A48" i="90" s="1"/>
  <c r="A49" i="90" s="1"/>
  <c r="A50" i="90" s="1"/>
  <c r="A51" i="90" s="1"/>
  <c r="A52" i="90" s="1"/>
  <c r="A53" i="90" s="1"/>
  <c r="A54" i="90" s="1"/>
  <c r="A55" i="90" s="1"/>
  <c r="A56" i="90" s="1"/>
  <c r="A57" i="90" s="1"/>
  <c r="A58" i="90" s="1"/>
  <c r="A59" i="90" s="1"/>
  <c r="A60" i="90" s="1"/>
  <c r="A61" i="90" s="1"/>
  <c r="A62" i="90" s="1"/>
  <c r="A63" i="90" s="1"/>
  <c r="A64" i="90" s="1"/>
  <c r="A65" i="90" s="1"/>
  <c r="A66" i="90" s="1"/>
  <c r="A67" i="90" s="1"/>
  <c r="A68" i="90" s="1"/>
  <c r="A69" i="90" s="1"/>
  <c r="A70" i="90" s="1"/>
  <c r="A71" i="90" s="1"/>
  <c r="A72" i="90" s="1"/>
  <c r="A73" i="90" s="1"/>
  <c r="A74" i="90" s="1"/>
  <c r="A75" i="90" s="1"/>
  <c r="A76" i="90" s="1"/>
  <c r="A77" i="90" s="1"/>
  <c r="A78" i="90" s="1"/>
  <c r="A79" i="90" s="1"/>
  <c r="A80" i="90" s="1"/>
  <c r="A81" i="90" s="1"/>
  <c r="A82" i="90" s="1"/>
  <c r="A83" i="90" s="1"/>
  <c r="A84" i="90" s="1"/>
  <c r="A85" i="90" s="1"/>
  <c r="A86" i="90" s="1"/>
  <c r="A87" i="90" s="1"/>
  <c r="A88" i="90" s="1"/>
  <c r="A89" i="90" s="1"/>
  <c r="A90" i="90" s="1"/>
  <c r="A91" i="90" s="1"/>
  <c r="A7" i="90"/>
  <c r="F1" i="90"/>
  <c r="E1" i="90"/>
  <c r="D1" i="90"/>
  <c r="C1" i="90"/>
  <c r="B1" i="90"/>
  <c r="A8" i="89"/>
  <c r="A9" i="89" s="1"/>
  <c r="A10" i="89" s="1"/>
  <c r="A11" i="89" s="1"/>
  <c r="A12" i="89" s="1"/>
  <c r="A13" i="89" s="1"/>
  <c r="A14" i="89" s="1"/>
  <c r="A15" i="89" s="1"/>
  <c r="A16" i="89" s="1"/>
  <c r="A17" i="89" s="1"/>
  <c r="A18" i="89" s="1"/>
  <c r="A19" i="89" s="1"/>
  <c r="A20" i="89" s="1"/>
  <c r="A21" i="89" s="1"/>
  <c r="A22" i="89" s="1"/>
  <c r="A23" i="89" s="1"/>
  <c r="A24" i="89" s="1"/>
  <c r="A25" i="89" s="1"/>
  <c r="A26" i="89" s="1"/>
  <c r="A27" i="89" s="1"/>
  <c r="A28" i="89" s="1"/>
  <c r="A29" i="89" s="1"/>
  <c r="A30" i="89" s="1"/>
  <c r="A31" i="89" s="1"/>
  <c r="A32" i="89" s="1"/>
  <c r="A33" i="89" s="1"/>
  <c r="A34" i="89" s="1"/>
  <c r="A35" i="89" s="1"/>
  <c r="A36" i="89" s="1"/>
  <c r="A37" i="89" s="1"/>
  <c r="A38" i="89" s="1"/>
  <c r="A39" i="89" s="1"/>
  <c r="A40" i="89" s="1"/>
  <c r="A41" i="89" s="1"/>
  <c r="A42" i="89" s="1"/>
  <c r="A43" i="89" s="1"/>
  <c r="A44" i="89" s="1"/>
  <c r="A45" i="89" s="1"/>
  <c r="A46" i="89" s="1"/>
  <c r="A47" i="89" s="1"/>
  <c r="A48" i="89" s="1"/>
  <c r="A49" i="89" s="1"/>
  <c r="A50" i="89" s="1"/>
  <c r="A51" i="89" s="1"/>
  <c r="A52" i="89" s="1"/>
  <c r="A53" i="89" s="1"/>
  <c r="A54" i="89" s="1"/>
  <c r="A55" i="89" s="1"/>
  <c r="A56" i="89" s="1"/>
  <c r="A57" i="89" s="1"/>
  <c r="A58" i="89" s="1"/>
  <c r="A59" i="89" s="1"/>
  <c r="A60" i="89" s="1"/>
  <c r="A61" i="89" s="1"/>
  <c r="A62" i="89" s="1"/>
  <c r="A63" i="89" s="1"/>
  <c r="A64" i="89" s="1"/>
  <c r="A65" i="89" s="1"/>
  <c r="A66" i="89" s="1"/>
  <c r="A67" i="89" s="1"/>
  <c r="A68" i="89" s="1"/>
  <c r="A69" i="89" s="1"/>
  <c r="A70" i="89" s="1"/>
  <c r="A71" i="89" s="1"/>
  <c r="A72" i="89" s="1"/>
  <c r="A73" i="89" s="1"/>
  <c r="A74" i="89" s="1"/>
  <c r="A75" i="89" s="1"/>
  <c r="A76" i="89" s="1"/>
  <c r="A77" i="89" s="1"/>
  <c r="A78" i="89" s="1"/>
  <c r="A79" i="89" s="1"/>
  <c r="A80" i="89" s="1"/>
  <c r="A81" i="89" s="1"/>
  <c r="A82" i="89" s="1"/>
  <c r="A83" i="89" s="1"/>
  <c r="A84" i="89" s="1"/>
  <c r="A85" i="89" s="1"/>
  <c r="A86" i="89" s="1"/>
  <c r="A87" i="89" s="1"/>
  <c r="A88" i="89" s="1"/>
  <c r="A89" i="89" s="1"/>
  <c r="A90" i="89" s="1"/>
  <c r="A91" i="89" s="1"/>
  <c r="A7" i="89"/>
  <c r="F1" i="89"/>
  <c r="E1" i="89"/>
  <c r="D1" i="89"/>
  <c r="C1" i="89"/>
  <c r="B1" i="89"/>
  <c r="A8" i="88"/>
  <c r="A9" i="88" s="1"/>
  <c r="A10" i="88" s="1"/>
  <c r="A11" i="88" s="1"/>
  <c r="A12" i="88" s="1"/>
  <c r="A13" i="88" s="1"/>
  <c r="A14" i="88" s="1"/>
  <c r="A15" i="88" s="1"/>
  <c r="A16" i="88" s="1"/>
  <c r="A17" i="88" s="1"/>
  <c r="A18" i="88" s="1"/>
  <c r="A19" i="88" s="1"/>
  <c r="A20" i="88" s="1"/>
  <c r="A21" i="88" s="1"/>
  <c r="A22" i="88" s="1"/>
  <c r="A23" i="88" s="1"/>
  <c r="A24" i="88" s="1"/>
  <c r="A25" i="88" s="1"/>
  <c r="A26" i="88" s="1"/>
  <c r="A27" i="88" s="1"/>
  <c r="A28" i="88" s="1"/>
  <c r="A29" i="88" s="1"/>
  <c r="A30" i="88" s="1"/>
  <c r="A31" i="88" s="1"/>
  <c r="A32" i="88" s="1"/>
  <c r="A33" i="88" s="1"/>
  <c r="A34" i="88" s="1"/>
  <c r="A35" i="88" s="1"/>
  <c r="A36" i="88" s="1"/>
  <c r="A37" i="88" s="1"/>
  <c r="A38" i="88" s="1"/>
  <c r="A39" i="88" s="1"/>
  <c r="A40" i="88" s="1"/>
  <c r="A41" i="88" s="1"/>
  <c r="A42" i="88" s="1"/>
  <c r="A43" i="88" s="1"/>
  <c r="A44" i="88" s="1"/>
  <c r="A45" i="88" s="1"/>
  <c r="A46" i="88" s="1"/>
  <c r="A47" i="88" s="1"/>
  <c r="A48" i="88" s="1"/>
  <c r="A49" i="88" s="1"/>
  <c r="A50" i="88" s="1"/>
  <c r="A51" i="88" s="1"/>
  <c r="A52" i="88" s="1"/>
  <c r="A53" i="88" s="1"/>
  <c r="A54" i="88" s="1"/>
  <c r="A55" i="88" s="1"/>
  <c r="A56" i="88" s="1"/>
  <c r="A57" i="88" s="1"/>
  <c r="A58" i="88" s="1"/>
  <c r="A59" i="88" s="1"/>
  <c r="A60" i="88" s="1"/>
  <c r="A61" i="88" s="1"/>
  <c r="A62" i="88" s="1"/>
  <c r="A63" i="88" s="1"/>
  <c r="A64" i="88" s="1"/>
  <c r="A65" i="88" s="1"/>
  <c r="A66" i="88" s="1"/>
  <c r="A67" i="88" s="1"/>
  <c r="A68" i="88" s="1"/>
  <c r="A69" i="88" s="1"/>
  <c r="A70" i="88" s="1"/>
  <c r="A71" i="88" s="1"/>
  <c r="A72" i="88" s="1"/>
  <c r="A73" i="88" s="1"/>
  <c r="A74" i="88" s="1"/>
  <c r="A75" i="88" s="1"/>
  <c r="A76" i="88" s="1"/>
  <c r="A77" i="88" s="1"/>
  <c r="A78" i="88" s="1"/>
  <c r="A79" i="88" s="1"/>
  <c r="A80" i="88" s="1"/>
  <c r="A81" i="88" s="1"/>
  <c r="A82" i="88" s="1"/>
  <c r="A83" i="88" s="1"/>
  <c r="A84" i="88" s="1"/>
  <c r="A85" i="88" s="1"/>
  <c r="A86" i="88" s="1"/>
  <c r="A87" i="88" s="1"/>
  <c r="A88" i="88" s="1"/>
  <c r="A89" i="88" s="1"/>
  <c r="A90" i="88" s="1"/>
  <c r="A91" i="88" s="1"/>
  <c r="A7" i="88"/>
  <c r="F1" i="88"/>
  <c r="E1" i="88"/>
  <c r="D1" i="88"/>
  <c r="C1" i="88"/>
  <c r="B1" i="88"/>
  <c r="A8" i="87"/>
  <c r="A9" i="87" s="1"/>
  <c r="A10" i="87" s="1"/>
  <c r="A11" i="87" s="1"/>
  <c r="A12" i="87" s="1"/>
  <c r="A13" i="87" s="1"/>
  <c r="A14" i="87" s="1"/>
  <c r="A15" i="87" s="1"/>
  <c r="A16" i="87" s="1"/>
  <c r="A17" i="87" s="1"/>
  <c r="A18" i="87" s="1"/>
  <c r="A19" i="87" s="1"/>
  <c r="A20" i="87" s="1"/>
  <c r="A21" i="87" s="1"/>
  <c r="A22" i="87" s="1"/>
  <c r="A23" i="87" s="1"/>
  <c r="A24" i="87" s="1"/>
  <c r="A25" i="87" s="1"/>
  <c r="A26" i="87" s="1"/>
  <c r="A27" i="87" s="1"/>
  <c r="A28" i="87" s="1"/>
  <c r="A29" i="87" s="1"/>
  <c r="A30" i="87" s="1"/>
  <c r="A31" i="87" s="1"/>
  <c r="A32" i="87" s="1"/>
  <c r="A33" i="87" s="1"/>
  <c r="A34" i="87" s="1"/>
  <c r="A35" i="87" s="1"/>
  <c r="A36" i="87" s="1"/>
  <c r="A37" i="87" s="1"/>
  <c r="A38" i="87" s="1"/>
  <c r="A39" i="87" s="1"/>
  <c r="A40" i="87" s="1"/>
  <c r="A41" i="87" s="1"/>
  <c r="A42" i="87" s="1"/>
  <c r="A43" i="87" s="1"/>
  <c r="A44" i="87" s="1"/>
  <c r="A45" i="87" s="1"/>
  <c r="A46" i="87" s="1"/>
  <c r="A47" i="87" s="1"/>
  <c r="A48" i="87" s="1"/>
  <c r="A49" i="87" s="1"/>
  <c r="A50" i="87" s="1"/>
  <c r="A51" i="87" s="1"/>
  <c r="A52" i="87" s="1"/>
  <c r="A53" i="87" s="1"/>
  <c r="A54" i="87" s="1"/>
  <c r="A55" i="87" s="1"/>
  <c r="A56" i="87" s="1"/>
  <c r="A57" i="87" s="1"/>
  <c r="A58" i="87" s="1"/>
  <c r="A59" i="87" s="1"/>
  <c r="A60" i="87" s="1"/>
  <c r="A61" i="87" s="1"/>
  <c r="A62" i="87" s="1"/>
  <c r="A63" i="87" s="1"/>
  <c r="A64" i="87" s="1"/>
  <c r="A65" i="87" s="1"/>
  <c r="A66" i="87" s="1"/>
  <c r="A67" i="87" s="1"/>
  <c r="A68" i="87" s="1"/>
  <c r="A69" i="87" s="1"/>
  <c r="A70" i="87" s="1"/>
  <c r="A71" i="87" s="1"/>
  <c r="A72" i="87" s="1"/>
  <c r="A73" i="87" s="1"/>
  <c r="A74" i="87" s="1"/>
  <c r="A75" i="87" s="1"/>
  <c r="A76" i="87" s="1"/>
  <c r="A77" i="87" s="1"/>
  <c r="A78" i="87" s="1"/>
  <c r="A79" i="87" s="1"/>
  <c r="A80" i="87" s="1"/>
  <c r="A81" i="87" s="1"/>
  <c r="A82" i="87" s="1"/>
  <c r="A83" i="87" s="1"/>
  <c r="A84" i="87" s="1"/>
  <c r="A85" i="87" s="1"/>
  <c r="A86" i="87" s="1"/>
  <c r="A87" i="87" s="1"/>
  <c r="A88" i="87" s="1"/>
  <c r="A89" i="87" s="1"/>
  <c r="A90" i="87" s="1"/>
  <c r="A91" i="87" s="1"/>
  <c r="A7" i="87"/>
  <c r="F1" i="87"/>
  <c r="E1" i="87"/>
  <c r="D1" i="87"/>
  <c r="C1" i="87"/>
  <c r="B1" i="87"/>
  <c r="A8" i="86"/>
  <c r="A9" i="86" s="1"/>
  <c r="A10" i="86" s="1"/>
  <c r="A11" i="86" s="1"/>
  <c r="A12" i="86" s="1"/>
  <c r="A13" i="86" s="1"/>
  <c r="A14" i="86" s="1"/>
  <c r="A15" i="86" s="1"/>
  <c r="A16" i="86" s="1"/>
  <c r="A17" i="86" s="1"/>
  <c r="A18" i="86" s="1"/>
  <c r="A19" i="86" s="1"/>
  <c r="A20" i="86" s="1"/>
  <c r="A21" i="86" s="1"/>
  <c r="A22" i="86" s="1"/>
  <c r="A23" i="86" s="1"/>
  <c r="A24" i="86" s="1"/>
  <c r="A25" i="86" s="1"/>
  <c r="A26" i="86" s="1"/>
  <c r="A27" i="86" s="1"/>
  <c r="A28" i="86" s="1"/>
  <c r="A29" i="86" s="1"/>
  <c r="A30" i="86" s="1"/>
  <c r="A31" i="86" s="1"/>
  <c r="A32" i="86" s="1"/>
  <c r="A33" i="86" s="1"/>
  <c r="A34" i="86" s="1"/>
  <c r="A35" i="86" s="1"/>
  <c r="A36" i="86" s="1"/>
  <c r="A37" i="86" s="1"/>
  <c r="A38" i="86" s="1"/>
  <c r="A39" i="86" s="1"/>
  <c r="A40" i="86" s="1"/>
  <c r="A41" i="86" s="1"/>
  <c r="A42" i="86" s="1"/>
  <c r="A43" i="86" s="1"/>
  <c r="A44" i="86" s="1"/>
  <c r="A45" i="86" s="1"/>
  <c r="A46" i="86" s="1"/>
  <c r="A47" i="86" s="1"/>
  <c r="A48" i="86" s="1"/>
  <c r="A49" i="86" s="1"/>
  <c r="A50" i="86" s="1"/>
  <c r="A51" i="86" s="1"/>
  <c r="A52" i="86" s="1"/>
  <c r="A53" i="86" s="1"/>
  <c r="A54" i="86" s="1"/>
  <c r="A55" i="86" s="1"/>
  <c r="A56" i="86" s="1"/>
  <c r="A57" i="86" s="1"/>
  <c r="A58" i="86" s="1"/>
  <c r="A59" i="86" s="1"/>
  <c r="A60" i="86" s="1"/>
  <c r="A61" i="86" s="1"/>
  <c r="A62" i="86" s="1"/>
  <c r="A63" i="86" s="1"/>
  <c r="A64" i="86" s="1"/>
  <c r="A65" i="86" s="1"/>
  <c r="A66" i="86" s="1"/>
  <c r="A67" i="86" s="1"/>
  <c r="A68" i="86" s="1"/>
  <c r="A69" i="86" s="1"/>
  <c r="A70" i="86" s="1"/>
  <c r="A71" i="86" s="1"/>
  <c r="A72" i="86" s="1"/>
  <c r="A73" i="86" s="1"/>
  <c r="A74" i="86" s="1"/>
  <c r="A75" i="86" s="1"/>
  <c r="A76" i="86" s="1"/>
  <c r="A77" i="86" s="1"/>
  <c r="A78" i="86" s="1"/>
  <c r="A79" i="86" s="1"/>
  <c r="A80" i="86" s="1"/>
  <c r="A81" i="86" s="1"/>
  <c r="A82" i="86" s="1"/>
  <c r="A83" i="86" s="1"/>
  <c r="A84" i="86" s="1"/>
  <c r="A85" i="86" s="1"/>
  <c r="A86" i="86" s="1"/>
  <c r="A87" i="86" s="1"/>
  <c r="A88" i="86" s="1"/>
  <c r="A89" i="86" s="1"/>
  <c r="A90" i="86" s="1"/>
  <c r="A91" i="86" s="1"/>
  <c r="A7" i="86"/>
  <c r="F1" i="86"/>
  <c r="E1" i="86"/>
  <c r="D1" i="86"/>
  <c r="C1" i="86"/>
  <c r="B1" i="86"/>
  <c r="A8" i="85"/>
  <c r="A9" i="85" s="1"/>
  <c r="A10" i="85" s="1"/>
  <c r="A11" i="85" s="1"/>
  <c r="A12" i="85" s="1"/>
  <c r="A13" i="85" s="1"/>
  <c r="A14" i="85" s="1"/>
  <c r="A15" i="85" s="1"/>
  <c r="A16" i="85" s="1"/>
  <c r="A17" i="85" s="1"/>
  <c r="A18" i="85" s="1"/>
  <c r="A19" i="85" s="1"/>
  <c r="A20" i="85" s="1"/>
  <c r="A21" i="85" s="1"/>
  <c r="A22" i="85" s="1"/>
  <c r="A23" i="85" s="1"/>
  <c r="A24" i="85" s="1"/>
  <c r="A25" i="85" s="1"/>
  <c r="A26" i="85" s="1"/>
  <c r="A27" i="85" s="1"/>
  <c r="A28" i="85" s="1"/>
  <c r="A29" i="85" s="1"/>
  <c r="A30" i="85" s="1"/>
  <c r="A31" i="85" s="1"/>
  <c r="A32" i="85" s="1"/>
  <c r="A33" i="85" s="1"/>
  <c r="A34" i="85" s="1"/>
  <c r="A35" i="85" s="1"/>
  <c r="A36" i="85" s="1"/>
  <c r="A37" i="85" s="1"/>
  <c r="A38" i="85" s="1"/>
  <c r="A39" i="85" s="1"/>
  <c r="A40" i="85" s="1"/>
  <c r="A41" i="85" s="1"/>
  <c r="A42" i="85" s="1"/>
  <c r="A43" i="85" s="1"/>
  <c r="A44" i="85" s="1"/>
  <c r="A45" i="85" s="1"/>
  <c r="A46" i="85" s="1"/>
  <c r="A47" i="85" s="1"/>
  <c r="A48" i="85" s="1"/>
  <c r="A49" i="85" s="1"/>
  <c r="A50" i="85" s="1"/>
  <c r="A51" i="85" s="1"/>
  <c r="A52" i="85" s="1"/>
  <c r="A53" i="85" s="1"/>
  <c r="A54" i="85" s="1"/>
  <c r="A55" i="85" s="1"/>
  <c r="A56" i="85" s="1"/>
  <c r="A57" i="85" s="1"/>
  <c r="A58" i="85" s="1"/>
  <c r="A59" i="85" s="1"/>
  <c r="A60" i="85" s="1"/>
  <c r="A61" i="85" s="1"/>
  <c r="A62" i="85" s="1"/>
  <c r="A63" i="85" s="1"/>
  <c r="A64" i="85" s="1"/>
  <c r="A65" i="85" s="1"/>
  <c r="A66" i="85" s="1"/>
  <c r="A67" i="85" s="1"/>
  <c r="A68" i="85" s="1"/>
  <c r="A69" i="85" s="1"/>
  <c r="A70" i="85" s="1"/>
  <c r="A71" i="85" s="1"/>
  <c r="A72" i="85" s="1"/>
  <c r="A73" i="85" s="1"/>
  <c r="A74" i="85" s="1"/>
  <c r="A75" i="85" s="1"/>
  <c r="A76" i="85" s="1"/>
  <c r="A77" i="85" s="1"/>
  <c r="A78" i="85" s="1"/>
  <c r="A79" i="85" s="1"/>
  <c r="A80" i="85" s="1"/>
  <c r="A81" i="85" s="1"/>
  <c r="A82" i="85" s="1"/>
  <c r="A83" i="85" s="1"/>
  <c r="A84" i="85" s="1"/>
  <c r="A85" i="85" s="1"/>
  <c r="A86" i="85" s="1"/>
  <c r="A87" i="85" s="1"/>
  <c r="A88" i="85" s="1"/>
  <c r="A89" i="85" s="1"/>
  <c r="A90" i="85" s="1"/>
  <c r="A91" i="85" s="1"/>
  <c r="A7" i="85"/>
  <c r="F1" i="85"/>
  <c r="E1" i="85"/>
  <c r="D1" i="85"/>
  <c r="C1" i="85"/>
  <c r="B1" i="85"/>
  <c r="A8" i="84"/>
  <c r="A9" i="84" s="1"/>
  <c r="A10" i="84" s="1"/>
  <c r="A11" i="84" s="1"/>
  <c r="A12" i="84" s="1"/>
  <c r="A13" i="84" s="1"/>
  <c r="A14" i="84" s="1"/>
  <c r="A15" i="84" s="1"/>
  <c r="A16" i="84" s="1"/>
  <c r="A17" i="84" s="1"/>
  <c r="A18" i="84" s="1"/>
  <c r="A19" i="84" s="1"/>
  <c r="A20" i="84" s="1"/>
  <c r="A21" i="84" s="1"/>
  <c r="A22" i="84" s="1"/>
  <c r="A23" i="84" s="1"/>
  <c r="A24" i="84" s="1"/>
  <c r="A25" i="84" s="1"/>
  <c r="A26" i="84" s="1"/>
  <c r="A27" i="84" s="1"/>
  <c r="A28" i="84" s="1"/>
  <c r="A29" i="84" s="1"/>
  <c r="A30" i="84" s="1"/>
  <c r="A31" i="84" s="1"/>
  <c r="A32" i="84" s="1"/>
  <c r="A33" i="84" s="1"/>
  <c r="A34" i="84" s="1"/>
  <c r="A35" i="84" s="1"/>
  <c r="A36" i="84" s="1"/>
  <c r="A37" i="84" s="1"/>
  <c r="A38" i="84" s="1"/>
  <c r="A39" i="84" s="1"/>
  <c r="A40" i="84" s="1"/>
  <c r="A41" i="84" s="1"/>
  <c r="A42" i="84" s="1"/>
  <c r="A43" i="84" s="1"/>
  <c r="A44" i="84" s="1"/>
  <c r="A45" i="84" s="1"/>
  <c r="A46" i="84" s="1"/>
  <c r="A47" i="84" s="1"/>
  <c r="A48" i="84" s="1"/>
  <c r="A49" i="84" s="1"/>
  <c r="A50" i="84" s="1"/>
  <c r="A51" i="84" s="1"/>
  <c r="A52" i="84" s="1"/>
  <c r="A53" i="84" s="1"/>
  <c r="A54" i="84" s="1"/>
  <c r="A55" i="84" s="1"/>
  <c r="A56" i="84" s="1"/>
  <c r="A57" i="84" s="1"/>
  <c r="A58" i="84" s="1"/>
  <c r="A59" i="84" s="1"/>
  <c r="A60" i="84" s="1"/>
  <c r="A61" i="84" s="1"/>
  <c r="A62" i="84" s="1"/>
  <c r="A63" i="84" s="1"/>
  <c r="A64" i="84" s="1"/>
  <c r="A65" i="84" s="1"/>
  <c r="A66" i="84" s="1"/>
  <c r="A67" i="84" s="1"/>
  <c r="A68" i="84" s="1"/>
  <c r="A69" i="84" s="1"/>
  <c r="A70" i="84" s="1"/>
  <c r="A71" i="84" s="1"/>
  <c r="A72" i="84" s="1"/>
  <c r="A73" i="84" s="1"/>
  <c r="A74" i="84" s="1"/>
  <c r="A75" i="84" s="1"/>
  <c r="A76" i="84" s="1"/>
  <c r="A77" i="84" s="1"/>
  <c r="A78" i="84" s="1"/>
  <c r="A79" i="84" s="1"/>
  <c r="A80" i="84" s="1"/>
  <c r="A81" i="84" s="1"/>
  <c r="A82" i="84" s="1"/>
  <c r="A83" i="84" s="1"/>
  <c r="A84" i="84" s="1"/>
  <c r="A85" i="84" s="1"/>
  <c r="A86" i="84" s="1"/>
  <c r="A87" i="84" s="1"/>
  <c r="A88" i="84" s="1"/>
  <c r="A89" i="84" s="1"/>
  <c r="A90" i="84" s="1"/>
  <c r="A91" i="84" s="1"/>
  <c r="A7" i="84"/>
  <c r="F1" i="84"/>
  <c r="E1" i="84"/>
  <c r="D1" i="84"/>
  <c r="C1" i="84"/>
  <c r="B1" i="84"/>
  <c r="A8" i="83"/>
  <c r="A9" i="83" s="1"/>
  <c r="A10" i="83" s="1"/>
  <c r="A11" i="83" s="1"/>
  <c r="A12" i="83" s="1"/>
  <c r="A13" i="83" s="1"/>
  <c r="A14" i="83" s="1"/>
  <c r="A15" i="83" s="1"/>
  <c r="A16" i="83" s="1"/>
  <c r="A17" i="83" s="1"/>
  <c r="A18" i="83" s="1"/>
  <c r="A19" i="83" s="1"/>
  <c r="A20" i="83" s="1"/>
  <c r="A21" i="83" s="1"/>
  <c r="A22" i="83" s="1"/>
  <c r="A23" i="83" s="1"/>
  <c r="A24" i="83" s="1"/>
  <c r="A25" i="83" s="1"/>
  <c r="A26" i="83" s="1"/>
  <c r="A27" i="83" s="1"/>
  <c r="A28" i="83" s="1"/>
  <c r="A29" i="83" s="1"/>
  <c r="A30" i="83" s="1"/>
  <c r="A31" i="83" s="1"/>
  <c r="A32" i="83" s="1"/>
  <c r="A33" i="83" s="1"/>
  <c r="A34" i="83" s="1"/>
  <c r="A35" i="83" s="1"/>
  <c r="A36" i="83" s="1"/>
  <c r="A37" i="83" s="1"/>
  <c r="A38" i="83" s="1"/>
  <c r="A39" i="83" s="1"/>
  <c r="A40" i="83" s="1"/>
  <c r="A41" i="83" s="1"/>
  <c r="A42" i="83" s="1"/>
  <c r="A43" i="83" s="1"/>
  <c r="A44" i="83" s="1"/>
  <c r="A45" i="83" s="1"/>
  <c r="A46" i="83" s="1"/>
  <c r="A47" i="83" s="1"/>
  <c r="A48" i="83" s="1"/>
  <c r="A49" i="83" s="1"/>
  <c r="A50" i="83" s="1"/>
  <c r="A51" i="83" s="1"/>
  <c r="A52" i="83" s="1"/>
  <c r="A53" i="83" s="1"/>
  <c r="A54" i="83" s="1"/>
  <c r="A55" i="83" s="1"/>
  <c r="A56" i="83" s="1"/>
  <c r="A57" i="83" s="1"/>
  <c r="A58" i="83" s="1"/>
  <c r="A59" i="83" s="1"/>
  <c r="A60" i="83" s="1"/>
  <c r="A61" i="83" s="1"/>
  <c r="A62" i="83" s="1"/>
  <c r="A63" i="83" s="1"/>
  <c r="A64" i="83" s="1"/>
  <c r="A65" i="83" s="1"/>
  <c r="A66" i="83" s="1"/>
  <c r="A67" i="83" s="1"/>
  <c r="A68" i="83" s="1"/>
  <c r="A69" i="83" s="1"/>
  <c r="A70" i="83" s="1"/>
  <c r="A71" i="83" s="1"/>
  <c r="A72" i="83" s="1"/>
  <c r="A73" i="83" s="1"/>
  <c r="A74" i="83" s="1"/>
  <c r="A75" i="83" s="1"/>
  <c r="A76" i="83" s="1"/>
  <c r="A77" i="83" s="1"/>
  <c r="A78" i="83" s="1"/>
  <c r="A79" i="83" s="1"/>
  <c r="A80" i="83" s="1"/>
  <c r="A81" i="83" s="1"/>
  <c r="A82" i="83" s="1"/>
  <c r="A83" i="83" s="1"/>
  <c r="A84" i="83" s="1"/>
  <c r="A85" i="83" s="1"/>
  <c r="A86" i="83" s="1"/>
  <c r="A87" i="83" s="1"/>
  <c r="A88" i="83" s="1"/>
  <c r="A89" i="83" s="1"/>
  <c r="A90" i="83" s="1"/>
  <c r="A91" i="83" s="1"/>
  <c r="A7" i="83"/>
  <c r="F1" i="83"/>
  <c r="E1" i="83"/>
  <c r="D1" i="83"/>
  <c r="C1" i="83"/>
  <c r="B1" i="83"/>
  <c r="A8" i="82"/>
  <c r="A9" i="82" s="1"/>
  <c r="A10" i="82" s="1"/>
  <c r="A11" i="82" s="1"/>
  <c r="A12" i="82" s="1"/>
  <c r="A13" i="82" s="1"/>
  <c r="A14" i="82" s="1"/>
  <c r="A15" i="82" s="1"/>
  <c r="A16" i="82" s="1"/>
  <c r="A17" i="82" s="1"/>
  <c r="A18" i="82" s="1"/>
  <c r="A19" i="82" s="1"/>
  <c r="A20" i="82" s="1"/>
  <c r="A21" i="82" s="1"/>
  <c r="A22" i="82" s="1"/>
  <c r="A23" i="82" s="1"/>
  <c r="A24" i="82" s="1"/>
  <c r="A25" i="82" s="1"/>
  <c r="A26" i="82" s="1"/>
  <c r="A27" i="82" s="1"/>
  <c r="A28" i="82" s="1"/>
  <c r="A29" i="82" s="1"/>
  <c r="A30" i="82" s="1"/>
  <c r="A31" i="82" s="1"/>
  <c r="A32" i="82" s="1"/>
  <c r="A33" i="82" s="1"/>
  <c r="A34" i="82" s="1"/>
  <c r="A35" i="82" s="1"/>
  <c r="A36" i="82" s="1"/>
  <c r="A37" i="82" s="1"/>
  <c r="A38" i="82" s="1"/>
  <c r="A39" i="82" s="1"/>
  <c r="A40" i="82" s="1"/>
  <c r="A41" i="82" s="1"/>
  <c r="A42" i="82" s="1"/>
  <c r="A43" i="82" s="1"/>
  <c r="A44" i="82" s="1"/>
  <c r="A45" i="82" s="1"/>
  <c r="A46" i="82" s="1"/>
  <c r="A47" i="82" s="1"/>
  <c r="A48" i="82" s="1"/>
  <c r="A49" i="82" s="1"/>
  <c r="A50" i="82" s="1"/>
  <c r="A51" i="82" s="1"/>
  <c r="A52" i="82" s="1"/>
  <c r="A53" i="82" s="1"/>
  <c r="A54" i="82" s="1"/>
  <c r="A55" i="82" s="1"/>
  <c r="A56" i="82" s="1"/>
  <c r="A57" i="82" s="1"/>
  <c r="A58" i="82" s="1"/>
  <c r="A59" i="82" s="1"/>
  <c r="A60" i="82" s="1"/>
  <c r="A61" i="82" s="1"/>
  <c r="A62" i="82" s="1"/>
  <c r="A63" i="82" s="1"/>
  <c r="A64" i="82" s="1"/>
  <c r="A65" i="82" s="1"/>
  <c r="A66" i="82" s="1"/>
  <c r="A67" i="82" s="1"/>
  <c r="A68" i="82" s="1"/>
  <c r="A69" i="82" s="1"/>
  <c r="A70" i="82" s="1"/>
  <c r="A71" i="82" s="1"/>
  <c r="A72" i="82" s="1"/>
  <c r="A73" i="82" s="1"/>
  <c r="A74" i="82" s="1"/>
  <c r="A75" i="82" s="1"/>
  <c r="A76" i="82" s="1"/>
  <c r="A77" i="82" s="1"/>
  <c r="A78" i="82" s="1"/>
  <c r="A79" i="82" s="1"/>
  <c r="A80" i="82" s="1"/>
  <c r="A81" i="82" s="1"/>
  <c r="A82" i="82" s="1"/>
  <c r="A83" i="82" s="1"/>
  <c r="A84" i="82" s="1"/>
  <c r="A85" i="82" s="1"/>
  <c r="A86" i="82" s="1"/>
  <c r="A87" i="82" s="1"/>
  <c r="A88" i="82" s="1"/>
  <c r="A89" i="82" s="1"/>
  <c r="A90" i="82" s="1"/>
  <c r="A91" i="82" s="1"/>
  <c r="A7" i="82"/>
  <c r="F1" i="82"/>
  <c r="E1" i="82"/>
  <c r="D1" i="82"/>
  <c r="C1" i="82"/>
  <c r="B1" i="82"/>
  <c r="A8" i="75"/>
  <c r="A9" i="75" s="1"/>
  <c r="A10" i="75" s="1"/>
  <c r="A11" i="75" s="1"/>
  <c r="A12" i="75" s="1"/>
  <c r="A13" i="75" s="1"/>
  <c r="A14" i="75" s="1"/>
  <c r="A15" i="75" s="1"/>
  <c r="A16" i="75" s="1"/>
  <c r="A17" i="75" s="1"/>
  <c r="A18" i="75" s="1"/>
  <c r="A19" i="75" s="1"/>
  <c r="A20" i="75" s="1"/>
  <c r="A21" i="75" s="1"/>
  <c r="A22" i="75" s="1"/>
  <c r="A23" i="75" s="1"/>
  <c r="A24" i="75" s="1"/>
  <c r="A25" i="75" s="1"/>
  <c r="A26" i="75" s="1"/>
  <c r="A27" i="75" s="1"/>
  <c r="A28" i="75" s="1"/>
  <c r="A29" i="75" s="1"/>
  <c r="A30" i="75" s="1"/>
  <c r="A31" i="75" s="1"/>
  <c r="A32" i="75" s="1"/>
  <c r="A33" i="75" s="1"/>
  <c r="A34" i="75" s="1"/>
  <c r="A35" i="75" s="1"/>
  <c r="A36" i="75" s="1"/>
  <c r="A37" i="75" s="1"/>
  <c r="A38" i="75" s="1"/>
  <c r="A39" i="75" s="1"/>
  <c r="A40" i="75" s="1"/>
  <c r="A41" i="75" s="1"/>
  <c r="A42" i="75" s="1"/>
  <c r="A43" i="75" s="1"/>
  <c r="A44" i="75" s="1"/>
  <c r="A45" i="75" s="1"/>
  <c r="A46" i="75" s="1"/>
  <c r="A47" i="75" s="1"/>
  <c r="A48" i="75" s="1"/>
  <c r="A49" i="75" s="1"/>
  <c r="A50" i="75" s="1"/>
  <c r="A51" i="75" s="1"/>
  <c r="A52" i="75" s="1"/>
  <c r="A53" i="75" s="1"/>
  <c r="A54" i="75" s="1"/>
  <c r="A55" i="75" s="1"/>
  <c r="A56" i="75" s="1"/>
  <c r="A57" i="75" s="1"/>
  <c r="A58" i="75" s="1"/>
  <c r="A59" i="75" s="1"/>
  <c r="A60" i="75" s="1"/>
  <c r="A61" i="75" s="1"/>
  <c r="A62" i="75" s="1"/>
  <c r="A63" i="75" s="1"/>
  <c r="A64" i="75" s="1"/>
  <c r="A65" i="75" s="1"/>
  <c r="A66" i="75" s="1"/>
  <c r="A67" i="75" s="1"/>
  <c r="A68" i="75" s="1"/>
  <c r="A69" i="75" s="1"/>
  <c r="A70" i="75" s="1"/>
  <c r="A71" i="75" s="1"/>
  <c r="A72" i="75" s="1"/>
  <c r="A73" i="75" s="1"/>
  <c r="A74" i="75" s="1"/>
  <c r="A75" i="75" s="1"/>
  <c r="A76" i="75" s="1"/>
  <c r="A77" i="75" s="1"/>
  <c r="A78" i="75" s="1"/>
  <c r="A79" i="75" s="1"/>
  <c r="A80" i="75" s="1"/>
  <c r="A81" i="75" s="1"/>
  <c r="A82" i="75" s="1"/>
  <c r="A83" i="75" s="1"/>
  <c r="A84" i="75" s="1"/>
  <c r="A85" i="75" s="1"/>
  <c r="A86" i="75" s="1"/>
  <c r="A87" i="75" s="1"/>
  <c r="A88" i="75" s="1"/>
  <c r="A89" i="75" s="1"/>
  <c r="A90" i="75" s="1"/>
  <c r="A91" i="75" s="1"/>
  <c r="A7" i="75"/>
  <c r="F1" i="75"/>
  <c r="E1" i="75"/>
  <c r="D1" i="75"/>
  <c r="C1" i="75"/>
  <c r="B1" i="75"/>
  <c r="A8" i="74"/>
  <c r="A9" i="74" s="1"/>
  <c r="A10" i="74" s="1"/>
  <c r="A11" i="74" s="1"/>
  <c r="A12" i="74" s="1"/>
  <c r="A13" i="74" s="1"/>
  <c r="A14" i="74" s="1"/>
  <c r="A15" i="74" s="1"/>
  <c r="A16" i="74" s="1"/>
  <c r="A17" i="74" s="1"/>
  <c r="A18" i="74" s="1"/>
  <c r="A19" i="74" s="1"/>
  <c r="A20" i="74" s="1"/>
  <c r="A21" i="74" s="1"/>
  <c r="A22" i="74" s="1"/>
  <c r="A23" i="74" s="1"/>
  <c r="A24" i="74" s="1"/>
  <c r="A25" i="74" s="1"/>
  <c r="A26" i="74" s="1"/>
  <c r="A27" i="74" s="1"/>
  <c r="A28" i="74" s="1"/>
  <c r="A29" i="74" s="1"/>
  <c r="A30" i="74" s="1"/>
  <c r="A31" i="74" s="1"/>
  <c r="A32" i="74" s="1"/>
  <c r="A33" i="74" s="1"/>
  <c r="A34" i="74" s="1"/>
  <c r="A35" i="74" s="1"/>
  <c r="A36" i="74" s="1"/>
  <c r="A37" i="74" s="1"/>
  <c r="A38" i="74" s="1"/>
  <c r="A39" i="74" s="1"/>
  <c r="A40" i="74" s="1"/>
  <c r="A41" i="74" s="1"/>
  <c r="A42" i="74" s="1"/>
  <c r="A43" i="74" s="1"/>
  <c r="A44" i="74" s="1"/>
  <c r="A45" i="74" s="1"/>
  <c r="A46" i="74" s="1"/>
  <c r="A47" i="74" s="1"/>
  <c r="A48" i="74" s="1"/>
  <c r="A49" i="74" s="1"/>
  <c r="A50" i="74" s="1"/>
  <c r="A51" i="74" s="1"/>
  <c r="A52" i="74" s="1"/>
  <c r="A53" i="74" s="1"/>
  <c r="A54" i="74" s="1"/>
  <c r="A55" i="74" s="1"/>
  <c r="A56" i="74" s="1"/>
  <c r="A57" i="74" s="1"/>
  <c r="A58" i="74" s="1"/>
  <c r="A59" i="74" s="1"/>
  <c r="A60" i="74" s="1"/>
  <c r="A61" i="74" s="1"/>
  <c r="A62" i="74" s="1"/>
  <c r="A63" i="74" s="1"/>
  <c r="A64" i="74" s="1"/>
  <c r="A65" i="74" s="1"/>
  <c r="A66" i="74" s="1"/>
  <c r="A67" i="74" s="1"/>
  <c r="A68" i="74" s="1"/>
  <c r="A69" i="74" s="1"/>
  <c r="A70" i="74" s="1"/>
  <c r="A71" i="74" s="1"/>
  <c r="A72" i="74" s="1"/>
  <c r="A73" i="74" s="1"/>
  <c r="A74" i="74" s="1"/>
  <c r="A75" i="74" s="1"/>
  <c r="A76" i="74" s="1"/>
  <c r="A77" i="74" s="1"/>
  <c r="A78" i="74" s="1"/>
  <c r="A79" i="74" s="1"/>
  <c r="A80" i="74" s="1"/>
  <c r="A81" i="74" s="1"/>
  <c r="A82" i="74" s="1"/>
  <c r="A83" i="74" s="1"/>
  <c r="A84" i="74" s="1"/>
  <c r="A85" i="74" s="1"/>
  <c r="A86" i="74" s="1"/>
  <c r="A87" i="74" s="1"/>
  <c r="A88" i="74" s="1"/>
  <c r="A89" i="74" s="1"/>
  <c r="A90" i="74" s="1"/>
  <c r="A91" i="74" s="1"/>
  <c r="A7" i="74"/>
  <c r="F1" i="74"/>
  <c r="E1" i="74"/>
  <c r="D1" i="74"/>
  <c r="C1" i="74"/>
  <c r="B1" i="74"/>
  <c r="A8" i="73"/>
  <c r="A9" i="73" s="1"/>
  <c r="A10" i="73" s="1"/>
  <c r="A11" i="73" s="1"/>
  <c r="A12" i="73" s="1"/>
  <c r="A13" i="73" s="1"/>
  <c r="A14" i="73" s="1"/>
  <c r="A15" i="73" s="1"/>
  <c r="A16" i="73" s="1"/>
  <c r="A17" i="73" s="1"/>
  <c r="A18" i="73" s="1"/>
  <c r="A19" i="73" s="1"/>
  <c r="A20" i="73" s="1"/>
  <c r="A21" i="73" s="1"/>
  <c r="A22" i="73" s="1"/>
  <c r="A23" i="73" s="1"/>
  <c r="A24" i="73" s="1"/>
  <c r="A25" i="73" s="1"/>
  <c r="A26" i="73" s="1"/>
  <c r="A27" i="73" s="1"/>
  <c r="A28" i="73" s="1"/>
  <c r="A29" i="73" s="1"/>
  <c r="A30" i="73" s="1"/>
  <c r="A31" i="73" s="1"/>
  <c r="A32" i="73" s="1"/>
  <c r="A33" i="73" s="1"/>
  <c r="A34" i="73" s="1"/>
  <c r="A35" i="73" s="1"/>
  <c r="A36" i="73" s="1"/>
  <c r="A37" i="73" s="1"/>
  <c r="A38" i="73" s="1"/>
  <c r="A39" i="73" s="1"/>
  <c r="A40" i="73" s="1"/>
  <c r="A41" i="73" s="1"/>
  <c r="A42" i="73" s="1"/>
  <c r="A43" i="73" s="1"/>
  <c r="A44" i="73" s="1"/>
  <c r="A45" i="73" s="1"/>
  <c r="A46" i="73" s="1"/>
  <c r="A47" i="73" s="1"/>
  <c r="A48" i="73" s="1"/>
  <c r="A49" i="73" s="1"/>
  <c r="A50" i="73" s="1"/>
  <c r="A51" i="73" s="1"/>
  <c r="A52" i="73" s="1"/>
  <c r="A53" i="73" s="1"/>
  <c r="A54" i="73" s="1"/>
  <c r="A55" i="73" s="1"/>
  <c r="A56" i="73" s="1"/>
  <c r="A57" i="73" s="1"/>
  <c r="A58" i="73" s="1"/>
  <c r="A59" i="73" s="1"/>
  <c r="A60" i="73" s="1"/>
  <c r="A61" i="73" s="1"/>
  <c r="A62" i="73" s="1"/>
  <c r="A63" i="73" s="1"/>
  <c r="A64" i="73" s="1"/>
  <c r="A65" i="73" s="1"/>
  <c r="A66" i="73" s="1"/>
  <c r="A67" i="73" s="1"/>
  <c r="A68" i="73" s="1"/>
  <c r="A69" i="73" s="1"/>
  <c r="A70" i="73" s="1"/>
  <c r="A71" i="73" s="1"/>
  <c r="A72" i="73" s="1"/>
  <c r="A73" i="73" s="1"/>
  <c r="A74" i="73" s="1"/>
  <c r="A75" i="73" s="1"/>
  <c r="A76" i="73" s="1"/>
  <c r="A77" i="73" s="1"/>
  <c r="A78" i="73" s="1"/>
  <c r="A79" i="73" s="1"/>
  <c r="A80" i="73" s="1"/>
  <c r="A81" i="73" s="1"/>
  <c r="A82" i="73" s="1"/>
  <c r="A83" i="73" s="1"/>
  <c r="A84" i="73" s="1"/>
  <c r="A85" i="73" s="1"/>
  <c r="A86" i="73" s="1"/>
  <c r="A87" i="73" s="1"/>
  <c r="A88" i="73" s="1"/>
  <c r="A89" i="73" s="1"/>
  <c r="A90" i="73" s="1"/>
  <c r="A91" i="73" s="1"/>
  <c r="A7" i="73"/>
  <c r="F1" i="73"/>
  <c r="E1" i="73"/>
  <c r="D1" i="73"/>
  <c r="C1" i="73"/>
  <c r="B1" i="73"/>
  <c r="A8" i="72"/>
  <c r="A9" i="72" s="1"/>
  <c r="A10" i="72" s="1"/>
  <c r="A11" i="72" s="1"/>
  <c r="A12" i="72" s="1"/>
  <c r="A13" i="72" s="1"/>
  <c r="A14" i="72" s="1"/>
  <c r="A15" i="72" s="1"/>
  <c r="A16" i="72" s="1"/>
  <c r="A17" i="72" s="1"/>
  <c r="A18" i="72" s="1"/>
  <c r="A19" i="72" s="1"/>
  <c r="A20" i="72" s="1"/>
  <c r="A21" i="72" s="1"/>
  <c r="A22" i="72" s="1"/>
  <c r="A23" i="72" s="1"/>
  <c r="A24" i="72" s="1"/>
  <c r="A25" i="72" s="1"/>
  <c r="A26" i="72" s="1"/>
  <c r="A27" i="72" s="1"/>
  <c r="A28" i="72" s="1"/>
  <c r="A29" i="72" s="1"/>
  <c r="A30" i="72" s="1"/>
  <c r="A31" i="72" s="1"/>
  <c r="A32" i="72" s="1"/>
  <c r="A33" i="72" s="1"/>
  <c r="A34" i="72" s="1"/>
  <c r="A35" i="72" s="1"/>
  <c r="A36" i="72" s="1"/>
  <c r="A37" i="72" s="1"/>
  <c r="A38" i="72" s="1"/>
  <c r="A39" i="72" s="1"/>
  <c r="A40" i="72" s="1"/>
  <c r="A41" i="72" s="1"/>
  <c r="A42" i="72" s="1"/>
  <c r="A43" i="72" s="1"/>
  <c r="A44" i="72" s="1"/>
  <c r="A45" i="72" s="1"/>
  <c r="A46" i="72" s="1"/>
  <c r="A47" i="72" s="1"/>
  <c r="A48" i="72" s="1"/>
  <c r="A49" i="72" s="1"/>
  <c r="A50" i="72" s="1"/>
  <c r="A51" i="72" s="1"/>
  <c r="A52" i="72" s="1"/>
  <c r="A53" i="72" s="1"/>
  <c r="A54" i="72" s="1"/>
  <c r="A55" i="72" s="1"/>
  <c r="A56" i="72" s="1"/>
  <c r="A57" i="72" s="1"/>
  <c r="A58" i="72" s="1"/>
  <c r="A59" i="72" s="1"/>
  <c r="A60" i="72" s="1"/>
  <c r="A61" i="72" s="1"/>
  <c r="A62" i="72" s="1"/>
  <c r="A63" i="72" s="1"/>
  <c r="A64" i="72" s="1"/>
  <c r="A65" i="72" s="1"/>
  <c r="A66" i="72" s="1"/>
  <c r="A67" i="72" s="1"/>
  <c r="A68" i="72" s="1"/>
  <c r="A69" i="72" s="1"/>
  <c r="A70" i="72" s="1"/>
  <c r="A71" i="72" s="1"/>
  <c r="A72" i="72" s="1"/>
  <c r="A73" i="72" s="1"/>
  <c r="A74" i="72" s="1"/>
  <c r="A75" i="72" s="1"/>
  <c r="A76" i="72" s="1"/>
  <c r="A77" i="72" s="1"/>
  <c r="A78" i="72" s="1"/>
  <c r="A79" i="72" s="1"/>
  <c r="A80" i="72" s="1"/>
  <c r="A81" i="72" s="1"/>
  <c r="A82" i="72" s="1"/>
  <c r="A83" i="72" s="1"/>
  <c r="A84" i="72" s="1"/>
  <c r="A85" i="72" s="1"/>
  <c r="A86" i="72" s="1"/>
  <c r="A87" i="72" s="1"/>
  <c r="A88" i="72" s="1"/>
  <c r="A89" i="72" s="1"/>
  <c r="A90" i="72" s="1"/>
  <c r="A91" i="72" s="1"/>
  <c r="A7" i="72"/>
  <c r="F1" i="72"/>
  <c r="E1" i="72"/>
  <c r="D1" i="72"/>
  <c r="C1" i="72"/>
  <c r="B1" i="72"/>
  <c r="A8" i="71"/>
  <c r="A9" i="71" s="1"/>
  <c r="A10" i="71" s="1"/>
  <c r="A11" i="71" s="1"/>
  <c r="A12" i="71" s="1"/>
  <c r="A13" i="71" s="1"/>
  <c r="A14" i="71" s="1"/>
  <c r="A15" i="71" s="1"/>
  <c r="A16" i="71" s="1"/>
  <c r="A17" i="71" s="1"/>
  <c r="A18" i="71" s="1"/>
  <c r="A19" i="71" s="1"/>
  <c r="A20" i="71" s="1"/>
  <c r="A21" i="71" s="1"/>
  <c r="A22" i="71" s="1"/>
  <c r="A23" i="71" s="1"/>
  <c r="A24" i="71" s="1"/>
  <c r="A25" i="71" s="1"/>
  <c r="A26" i="71" s="1"/>
  <c r="A27" i="71" s="1"/>
  <c r="A28" i="71" s="1"/>
  <c r="A29" i="71" s="1"/>
  <c r="A30" i="71" s="1"/>
  <c r="A31" i="71" s="1"/>
  <c r="A32" i="71" s="1"/>
  <c r="A33" i="71" s="1"/>
  <c r="A34" i="71" s="1"/>
  <c r="A35" i="71" s="1"/>
  <c r="A36" i="71" s="1"/>
  <c r="A37" i="71" s="1"/>
  <c r="A38" i="71" s="1"/>
  <c r="A39" i="71" s="1"/>
  <c r="A40" i="71" s="1"/>
  <c r="A41" i="71" s="1"/>
  <c r="A42" i="71" s="1"/>
  <c r="A43" i="71" s="1"/>
  <c r="A44" i="71" s="1"/>
  <c r="A45" i="71" s="1"/>
  <c r="A46" i="71" s="1"/>
  <c r="A47" i="71" s="1"/>
  <c r="A48" i="71" s="1"/>
  <c r="A49" i="71" s="1"/>
  <c r="A50" i="71" s="1"/>
  <c r="A51" i="71" s="1"/>
  <c r="A52" i="71" s="1"/>
  <c r="A53" i="71" s="1"/>
  <c r="A54" i="71" s="1"/>
  <c r="A55" i="71" s="1"/>
  <c r="A56" i="71" s="1"/>
  <c r="A57" i="71" s="1"/>
  <c r="A58" i="71" s="1"/>
  <c r="A59" i="71" s="1"/>
  <c r="A60" i="71" s="1"/>
  <c r="A61" i="71" s="1"/>
  <c r="A62" i="71" s="1"/>
  <c r="A63" i="71" s="1"/>
  <c r="A64" i="71" s="1"/>
  <c r="A65" i="71" s="1"/>
  <c r="A66" i="71" s="1"/>
  <c r="A67" i="71" s="1"/>
  <c r="A68" i="71" s="1"/>
  <c r="A69" i="71" s="1"/>
  <c r="A70" i="71" s="1"/>
  <c r="A71" i="71" s="1"/>
  <c r="A72" i="71" s="1"/>
  <c r="A73" i="71" s="1"/>
  <c r="A74" i="71" s="1"/>
  <c r="A75" i="71" s="1"/>
  <c r="A76" i="71" s="1"/>
  <c r="A77" i="71" s="1"/>
  <c r="A78" i="71" s="1"/>
  <c r="A79" i="71" s="1"/>
  <c r="A80" i="71" s="1"/>
  <c r="A81" i="71" s="1"/>
  <c r="A82" i="71" s="1"/>
  <c r="A83" i="71" s="1"/>
  <c r="A84" i="71" s="1"/>
  <c r="A85" i="71" s="1"/>
  <c r="A86" i="71" s="1"/>
  <c r="A87" i="71" s="1"/>
  <c r="A88" i="71" s="1"/>
  <c r="A89" i="71" s="1"/>
  <c r="A90" i="71" s="1"/>
  <c r="A91" i="71" s="1"/>
  <c r="A7" i="71"/>
  <c r="F1" i="71"/>
  <c r="E1" i="71"/>
  <c r="D1" i="71"/>
  <c r="C1" i="71"/>
  <c r="B1" i="71"/>
  <c r="A8" i="70"/>
  <c r="A9" i="70" s="1"/>
  <c r="A10" i="70" s="1"/>
  <c r="A11" i="70" s="1"/>
  <c r="A12" i="70" s="1"/>
  <c r="A13" i="70" s="1"/>
  <c r="A14" i="70" s="1"/>
  <c r="A15" i="70" s="1"/>
  <c r="A16" i="70" s="1"/>
  <c r="A17" i="70" s="1"/>
  <c r="A18" i="70" s="1"/>
  <c r="A19" i="70" s="1"/>
  <c r="A20" i="70" s="1"/>
  <c r="A21" i="70" s="1"/>
  <c r="A22" i="70" s="1"/>
  <c r="A23" i="70" s="1"/>
  <c r="A24" i="70" s="1"/>
  <c r="A25" i="70" s="1"/>
  <c r="A26" i="70" s="1"/>
  <c r="A27" i="70" s="1"/>
  <c r="A28" i="70" s="1"/>
  <c r="A29" i="70" s="1"/>
  <c r="A30" i="70" s="1"/>
  <c r="A31" i="70" s="1"/>
  <c r="A32" i="70" s="1"/>
  <c r="A33" i="70" s="1"/>
  <c r="A34" i="70" s="1"/>
  <c r="A35" i="70" s="1"/>
  <c r="A36" i="70" s="1"/>
  <c r="A37" i="70" s="1"/>
  <c r="A38" i="70" s="1"/>
  <c r="A39" i="70" s="1"/>
  <c r="A40" i="70" s="1"/>
  <c r="A41" i="70" s="1"/>
  <c r="A42" i="70" s="1"/>
  <c r="A43" i="70" s="1"/>
  <c r="A44" i="70" s="1"/>
  <c r="A45" i="70" s="1"/>
  <c r="A46" i="70" s="1"/>
  <c r="A47" i="70" s="1"/>
  <c r="A48" i="70" s="1"/>
  <c r="A49" i="70" s="1"/>
  <c r="A50" i="70" s="1"/>
  <c r="A51" i="70" s="1"/>
  <c r="A52" i="70" s="1"/>
  <c r="A53" i="70" s="1"/>
  <c r="A54" i="70" s="1"/>
  <c r="A55" i="70" s="1"/>
  <c r="A56" i="70" s="1"/>
  <c r="A57" i="70" s="1"/>
  <c r="A58" i="70" s="1"/>
  <c r="A59" i="70" s="1"/>
  <c r="A60" i="70" s="1"/>
  <c r="A61" i="70" s="1"/>
  <c r="A62" i="70" s="1"/>
  <c r="A63" i="70" s="1"/>
  <c r="A64" i="70" s="1"/>
  <c r="A65" i="70" s="1"/>
  <c r="A66" i="70" s="1"/>
  <c r="A67" i="70" s="1"/>
  <c r="A68" i="70" s="1"/>
  <c r="A69" i="70" s="1"/>
  <c r="A70" i="70" s="1"/>
  <c r="A71" i="70" s="1"/>
  <c r="A72" i="70" s="1"/>
  <c r="A73" i="70" s="1"/>
  <c r="A74" i="70" s="1"/>
  <c r="A75" i="70" s="1"/>
  <c r="A76" i="70" s="1"/>
  <c r="A77" i="70" s="1"/>
  <c r="A78" i="70" s="1"/>
  <c r="A79" i="70" s="1"/>
  <c r="A80" i="70" s="1"/>
  <c r="A81" i="70" s="1"/>
  <c r="A82" i="70" s="1"/>
  <c r="A83" i="70" s="1"/>
  <c r="A84" i="70" s="1"/>
  <c r="A85" i="70" s="1"/>
  <c r="A86" i="70" s="1"/>
  <c r="A87" i="70" s="1"/>
  <c r="A88" i="70" s="1"/>
  <c r="A89" i="70" s="1"/>
  <c r="A90" i="70" s="1"/>
  <c r="A91" i="70" s="1"/>
  <c r="A7" i="70"/>
  <c r="F1" i="70"/>
  <c r="E1" i="70"/>
  <c r="D1" i="70"/>
  <c r="C1" i="70"/>
  <c r="B1" i="70"/>
  <c r="A8" i="69"/>
  <c r="A9" i="69" s="1"/>
  <c r="A10" i="69" s="1"/>
  <c r="A11" i="69" s="1"/>
  <c r="A12" i="69" s="1"/>
  <c r="A13" i="69" s="1"/>
  <c r="A14" i="69" s="1"/>
  <c r="A15" i="69" s="1"/>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0" i="69" s="1"/>
  <c r="A41" i="69" s="1"/>
  <c r="A42" i="69" s="1"/>
  <c r="A43" i="69" s="1"/>
  <c r="A44" i="69" s="1"/>
  <c r="A45" i="69" s="1"/>
  <c r="A46" i="69" s="1"/>
  <c r="A47" i="69" s="1"/>
  <c r="A48" i="69" s="1"/>
  <c r="A49" i="69" s="1"/>
  <c r="A50" i="69" s="1"/>
  <c r="A51" i="69" s="1"/>
  <c r="A52" i="69" s="1"/>
  <c r="A53" i="69" s="1"/>
  <c r="A54" i="69" s="1"/>
  <c r="A55" i="69" s="1"/>
  <c r="A56" i="69" s="1"/>
  <c r="A57" i="69" s="1"/>
  <c r="A58" i="69" s="1"/>
  <c r="A59" i="69" s="1"/>
  <c r="A60" i="69" s="1"/>
  <c r="A61" i="69" s="1"/>
  <c r="A62" i="69" s="1"/>
  <c r="A63" i="69" s="1"/>
  <c r="A64" i="69" s="1"/>
  <c r="A65" i="69" s="1"/>
  <c r="A66" i="69" s="1"/>
  <c r="A67" i="69" s="1"/>
  <c r="A68" i="69" s="1"/>
  <c r="A69" i="69" s="1"/>
  <c r="A70" i="69" s="1"/>
  <c r="A71" i="69" s="1"/>
  <c r="A72" i="69" s="1"/>
  <c r="A73" i="69" s="1"/>
  <c r="A74" i="69" s="1"/>
  <c r="A75" i="69" s="1"/>
  <c r="A76" i="69" s="1"/>
  <c r="A77" i="69" s="1"/>
  <c r="A78" i="69" s="1"/>
  <c r="A79" i="69" s="1"/>
  <c r="A80" i="69" s="1"/>
  <c r="A81" i="69" s="1"/>
  <c r="A82" i="69" s="1"/>
  <c r="A83" i="69" s="1"/>
  <c r="A84" i="69" s="1"/>
  <c r="A85" i="69" s="1"/>
  <c r="A86" i="69" s="1"/>
  <c r="A87" i="69" s="1"/>
  <c r="A88" i="69" s="1"/>
  <c r="A89" i="69" s="1"/>
  <c r="A90" i="69" s="1"/>
  <c r="A91" i="69" s="1"/>
  <c r="A7" i="69"/>
  <c r="F1" i="69"/>
  <c r="E1" i="69"/>
  <c r="D1" i="69"/>
  <c r="C1" i="69"/>
  <c r="B1" i="69"/>
  <c r="A8" i="68"/>
  <c r="A9" i="68" s="1"/>
  <c r="A10" i="68" s="1"/>
  <c r="A11" i="68" s="1"/>
  <c r="A12" i="68" s="1"/>
  <c r="A13" i="68" s="1"/>
  <c r="A14" i="68" s="1"/>
  <c r="A15" i="68" s="1"/>
  <c r="A16" i="68" s="1"/>
  <c r="A17" i="68" s="1"/>
  <c r="A18" i="68" s="1"/>
  <c r="A19" i="68" s="1"/>
  <c r="A20" i="68" s="1"/>
  <c r="A21" i="68" s="1"/>
  <c r="A22" i="68" s="1"/>
  <c r="A23" i="68" s="1"/>
  <c r="A24" i="68" s="1"/>
  <c r="A25" i="68" s="1"/>
  <c r="A26" i="68" s="1"/>
  <c r="A27" i="68" s="1"/>
  <c r="A28" i="68" s="1"/>
  <c r="A29" i="68" s="1"/>
  <c r="A30" i="68" s="1"/>
  <c r="A31" i="68" s="1"/>
  <c r="A32" i="68" s="1"/>
  <c r="A33" i="68" s="1"/>
  <c r="A34" i="68" s="1"/>
  <c r="A35" i="68" s="1"/>
  <c r="A36" i="68" s="1"/>
  <c r="A37" i="68" s="1"/>
  <c r="A38" i="68" s="1"/>
  <c r="A39" i="68" s="1"/>
  <c r="A40" i="68" s="1"/>
  <c r="A41" i="68" s="1"/>
  <c r="A42" i="68" s="1"/>
  <c r="A43" i="68" s="1"/>
  <c r="A44" i="68" s="1"/>
  <c r="A45" i="68" s="1"/>
  <c r="A46" i="68" s="1"/>
  <c r="A47" i="68" s="1"/>
  <c r="A48" i="68" s="1"/>
  <c r="A49" i="68" s="1"/>
  <c r="A50" i="68" s="1"/>
  <c r="A51" i="68" s="1"/>
  <c r="A52" i="68" s="1"/>
  <c r="A53" i="68" s="1"/>
  <c r="A54" i="68" s="1"/>
  <c r="A55" i="68" s="1"/>
  <c r="A56" i="68" s="1"/>
  <c r="A57" i="68" s="1"/>
  <c r="A58" i="68" s="1"/>
  <c r="A59" i="68" s="1"/>
  <c r="A60" i="68" s="1"/>
  <c r="A61" i="68" s="1"/>
  <c r="A62" i="68" s="1"/>
  <c r="A63" i="68" s="1"/>
  <c r="A64" i="68" s="1"/>
  <c r="A65" i="68" s="1"/>
  <c r="A66" i="68" s="1"/>
  <c r="A67" i="68" s="1"/>
  <c r="A68" i="68" s="1"/>
  <c r="A69" i="68" s="1"/>
  <c r="A70" i="68" s="1"/>
  <c r="A71" i="68" s="1"/>
  <c r="A72" i="68" s="1"/>
  <c r="A73" i="68" s="1"/>
  <c r="A74" i="68" s="1"/>
  <c r="A75" i="68" s="1"/>
  <c r="A76" i="68" s="1"/>
  <c r="A77" i="68" s="1"/>
  <c r="A78" i="68" s="1"/>
  <c r="A79" i="68" s="1"/>
  <c r="A80" i="68" s="1"/>
  <c r="A81" i="68" s="1"/>
  <c r="A82" i="68" s="1"/>
  <c r="A83" i="68" s="1"/>
  <c r="A84" i="68" s="1"/>
  <c r="A85" i="68" s="1"/>
  <c r="A86" i="68" s="1"/>
  <c r="A87" i="68" s="1"/>
  <c r="A88" i="68" s="1"/>
  <c r="A89" i="68" s="1"/>
  <c r="A90" i="68" s="1"/>
  <c r="A91" i="68" s="1"/>
  <c r="A7" i="68"/>
  <c r="F1" i="68"/>
  <c r="E1" i="68"/>
  <c r="D1" i="68"/>
  <c r="C1" i="68"/>
  <c r="B1" i="68"/>
  <c r="A8" i="67"/>
  <c r="A9" i="67" s="1"/>
  <c r="A10" i="67" s="1"/>
  <c r="A11" i="67" s="1"/>
  <c r="A12" i="67" s="1"/>
  <c r="A13" i="67" s="1"/>
  <c r="A14" i="67" s="1"/>
  <c r="A15" i="67" s="1"/>
  <c r="A16" i="67" s="1"/>
  <c r="A17" i="67" s="1"/>
  <c r="A18" i="67" s="1"/>
  <c r="A19" i="67" s="1"/>
  <c r="A20" i="67" s="1"/>
  <c r="A21" i="67" s="1"/>
  <c r="A22" i="67" s="1"/>
  <c r="A23" i="67" s="1"/>
  <c r="A24" i="67" s="1"/>
  <c r="A25" i="67" s="1"/>
  <c r="A26" i="67" s="1"/>
  <c r="A27" i="67" s="1"/>
  <c r="A28" i="67" s="1"/>
  <c r="A29" i="67" s="1"/>
  <c r="A30" i="67" s="1"/>
  <c r="A31" i="67" s="1"/>
  <c r="A32" i="67" s="1"/>
  <c r="A33" i="67" s="1"/>
  <c r="A34" i="67" s="1"/>
  <c r="A35" i="67" s="1"/>
  <c r="A36" i="67" s="1"/>
  <c r="A37" i="67" s="1"/>
  <c r="A38" i="67" s="1"/>
  <c r="A39" i="67" s="1"/>
  <c r="A40" i="67" s="1"/>
  <c r="A41" i="67" s="1"/>
  <c r="A42" i="67" s="1"/>
  <c r="A43" i="67" s="1"/>
  <c r="A44" i="67" s="1"/>
  <c r="A45" i="67" s="1"/>
  <c r="A46" i="67" s="1"/>
  <c r="A47" i="67" s="1"/>
  <c r="A48" i="67" s="1"/>
  <c r="A49" i="67" s="1"/>
  <c r="A50" i="67" s="1"/>
  <c r="A51" i="67" s="1"/>
  <c r="A52" i="67" s="1"/>
  <c r="A53" i="67" s="1"/>
  <c r="A54" i="67" s="1"/>
  <c r="A55" i="67" s="1"/>
  <c r="A56" i="67" s="1"/>
  <c r="A57" i="67" s="1"/>
  <c r="A58" i="67" s="1"/>
  <c r="A59" i="67" s="1"/>
  <c r="A60" i="67" s="1"/>
  <c r="A61" i="67" s="1"/>
  <c r="A62" i="67" s="1"/>
  <c r="A63" i="67" s="1"/>
  <c r="A64" i="67" s="1"/>
  <c r="A65" i="67" s="1"/>
  <c r="A66" i="67" s="1"/>
  <c r="A67" i="67" s="1"/>
  <c r="A68" i="67" s="1"/>
  <c r="A69" i="67" s="1"/>
  <c r="A70" i="67" s="1"/>
  <c r="A71" i="67" s="1"/>
  <c r="A72" i="67" s="1"/>
  <c r="A73" i="67" s="1"/>
  <c r="A74" i="67" s="1"/>
  <c r="A75" i="67" s="1"/>
  <c r="A76" i="67" s="1"/>
  <c r="A77" i="67" s="1"/>
  <c r="A78" i="67" s="1"/>
  <c r="A79" i="67" s="1"/>
  <c r="A80" i="67" s="1"/>
  <c r="A81" i="67" s="1"/>
  <c r="A82" i="67" s="1"/>
  <c r="A83" i="67" s="1"/>
  <c r="A84" i="67" s="1"/>
  <c r="A85" i="67" s="1"/>
  <c r="A86" i="67" s="1"/>
  <c r="A87" i="67" s="1"/>
  <c r="A88" i="67" s="1"/>
  <c r="A89" i="67" s="1"/>
  <c r="A90" i="67" s="1"/>
  <c r="A91" i="67" s="1"/>
  <c r="A7" i="67"/>
  <c r="F1" i="67"/>
  <c r="E1" i="67"/>
  <c r="D1" i="67"/>
  <c r="C1" i="67"/>
  <c r="B1" i="67"/>
  <c r="A8" i="66"/>
  <c r="A9" i="66" s="1"/>
  <c r="A10" i="66" s="1"/>
  <c r="A11" i="66" s="1"/>
  <c r="A12" i="66" s="1"/>
  <c r="A13" i="66" s="1"/>
  <c r="A14" i="66" s="1"/>
  <c r="A15" i="66" s="1"/>
  <c r="A16" i="66" s="1"/>
  <c r="A17" i="66" s="1"/>
  <c r="A18" i="66" s="1"/>
  <c r="A19" i="66" s="1"/>
  <c r="A20" i="66" s="1"/>
  <c r="A21" i="66" s="1"/>
  <c r="A22" i="66" s="1"/>
  <c r="A23" i="66" s="1"/>
  <c r="A24" i="66" s="1"/>
  <c r="A25" i="66" s="1"/>
  <c r="A26" i="66" s="1"/>
  <c r="A27" i="66" s="1"/>
  <c r="A28" i="66" s="1"/>
  <c r="A29" i="66" s="1"/>
  <c r="A30" i="66" s="1"/>
  <c r="A31" i="66" s="1"/>
  <c r="A32" i="66" s="1"/>
  <c r="A33" i="66" s="1"/>
  <c r="A34" i="66" s="1"/>
  <c r="A35" i="66" s="1"/>
  <c r="A36" i="66" s="1"/>
  <c r="A37" i="66" s="1"/>
  <c r="A38" i="66" s="1"/>
  <c r="A39" i="66" s="1"/>
  <c r="A40" i="66" s="1"/>
  <c r="A41" i="66" s="1"/>
  <c r="A42" i="66" s="1"/>
  <c r="A43" i="66" s="1"/>
  <c r="A44" i="66" s="1"/>
  <c r="A45" i="66" s="1"/>
  <c r="A46" i="66" s="1"/>
  <c r="A47" i="66" s="1"/>
  <c r="A48" i="66" s="1"/>
  <c r="A49" i="66" s="1"/>
  <c r="A50" i="66" s="1"/>
  <c r="A51" i="66" s="1"/>
  <c r="A52" i="66" s="1"/>
  <c r="A53" i="66" s="1"/>
  <c r="A54" i="66" s="1"/>
  <c r="A55" i="66" s="1"/>
  <c r="A56" i="66" s="1"/>
  <c r="A57" i="66" s="1"/>
  <c r="A58" i="66" s="1"/>
  <c r="A59" i="66" s="1"/>
  <c r="A60" i="66" s="1"/>
  <c r="A61" i="66" s="1"/>
  <c r="A62" i="66" s="1"/>
  <c r="A63" i="66" s="1"/>
  <c r="A64" i="66" s="1"/>
  <c r="A65" i="66" s="1"/>
  <c r="A66" i="66" s="1"/>
  <c r="A67" i="66" s="1"/>
  <c r="A68" i="66" s="1"/>
  <c r="A69" i="66" s="1"/>
  <c r="A70" i="66" s="1"/>
  <c r="A71" i="66" s="1"/>
  <c r="A72" i="66" s="1"/>
  <c r="A73" i="66" s="1"/>
  <c r="A74" i="66" s="1"/>
  <c r="A75" i="66" s="1"/>
  <c r="A76" i="66" s="1"/>
  <c r="A77" i="66" s="1"/>
  <c r="A78" i="66" s="1"/>
  <c r="A79" i="66" s="1"/>
  <c r="A80" i="66" s="1"/>
  <c r="A81" i="66" s="1"/>
  <c r="A82" i="66" s="1"/>
  <c r="A83" i="66" s="1"/>
  <c r="A84" i="66" s="1"/>
  <c r="A85" i="66" s="1"/>
  <c r="A86" i="66" s="1"/>
  <c r="A87" i="66" s="1"/>
  <c r="A88" i="66" s="1"/>
  <c r="A89" i="66" s="1"/>
  <c r="A90" i="66" s="1"/>
  <c r="A91" i="66" s="1"/>
  <c r="A7" i="66"/>
  <c r="F1" i="66"/>
  <c r="E1" i="66"/>
  <c r="D1" i="66"/>
  <c r="C1" i="66"/>
  <c r="B1" i="66"/>
  <c r="A8" i="65"/>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7" i="65"/>
  <c r="F1" i="65"/>
  <c r="E1" i="65"/>
  <c r="D1" i="65"/>
  <c r="C1" i="65"/>
  <c r="B1" i="65"/>
  <c r="A8" i="64"/>
  <c r="A9" i="64" s="1"/>
  <c r="A10" i="64" s="1"/>
  <c r="A11" i="64" s="1"/>
  <c r="A12" i="64" s="1"/>
  <c r="A13" i="64" s="1"/>
  <c r="A14" i="64" s="1"/>
  <c r="A15" i="64" s="1"/>
  <c r="A16" i="64" s="1"/>
  <c r="A17" i="64" s="1"/>
  <c r="A18" i="64" s="1"/>
  <c r="A19" i="64" s="1"/>
  <c r="A20" i="64" s="1"/>
  <c r="A21" i="64" s="1"/>
  <c r="A22" i="64" s="1"/>
  <c r="A23" i="64" s="1"/>
  <c r="A24" i="64" s="1"/>
  <c r="A25" i="64" s="1"/>
  <c r="A26" i="64" s="1"/>
  <c r="A27" i="64" s="1"/>
  <c r="A28" i="64" s="1"/>
  <c r="A29" i="64" s="1"/>
  <c r="A30" i="64" s="1"/>
  <c r="A31" i="64" s="1"/>
  <c r="A32" i="64" s="1"/>
  <c r="A33" i="64" s="1"/>
  <c r="A34" i="64" s="1"/>
  <c r="A35" i="64" s="1"/>
  <c r="A36" i="64" s="1"/>
  <c r="A37" i="64" s="1"/>
  <c r="A38" i="64" s="1"/>
  <c r="A39" i="64" s="1"/>
  <c r="A40" i="64" s="1"/>
  <c r="A41" i="64" s="1"/>
  <c r="A42" i="64" s="1"/>
  <c r="A43" i="64" s="1"/>
  <c r="A44" i="64" s="1"/>
  <c r="A45" i="64" s="1"/>
  <c r="A46" i="64" s="1"/>
  <c r="A47" i="64" s="1"/>
  <c r="A48" i="64" s="1"/>
  <c r="A49" i="64" s="1"/>
  <c r="A50" i="64" s="1"/>
  <c r="A51" i="64" s="1"/>
  <c r="A52" i="64" s="1"/>
  <c r="A53" i="64" s="1"/>
  <c r="A54" i="64" s="1"/>
  <c r="A55" i="64" s="1"/>
  <c r="A56" i="64" s="1"/>
  <c r="A57" i="64" s="1"/>
  <c r="A58" i="64" s="1"/>
  <c r="A59" i="64" s="1"/>
  <c r="A60" i="64" s="1"/>
  <c r="A61" i="64" s="1"/>
  <c r="A62" i="64" s="1"/>
  <c r="A63" i="64" s="1"/>
  <c r="A64" i="64" s="1"/>
  <c r="A65" i="64" s="1"/>
  <c r="A66" i="64" s="1"/>
  <c r="A67" i="64" s="1"/>
  <c r="A68" i="64" s="1"/>
  <c r="A69" i="64" s="1"/>
  <c r="A70" i="64" s="1"/>
  <c r="A71" i="64" s="1"/>
  <c r="A72" i="64" s="1"/>
  <c r="A73" i="64" s="1"/>
  <c r="A74" i="64" s="1"/>
  <c r="A75" i="64" s="1"/>
  <c r="A76" i="64" s="1"/>
  <c r="A77" i="64" s="1"/>
  <c r="A78" i="64" s="1"/>
  <c r="A79" i="64" s="1"/>
  <c r="A80" i="64" s="1"/>
  <c r="A81" i="64" s="1"/>
  <c r="A82" i="64" s="1"/>
  <c r="A83" i="64" s="1"/>
  <c r="A84" i="64" s="1"/>
  <c r="A85" i="64" s="1"/>
  <c r="A86" i="64" s="1"/>
  <c r="A87" i="64" s="1"/>
  <c r="A88" i="64" s="1"/>
  <c r="A89" i="64" s="1"/>
  <c r="A90" i="64" s="1"/>
  <c r="A91" i="64" s="1"/>
  <c r="A7" i="64"/>
  <c r="F1" i="64"/>
  <c r="E1" i="64"/>
  <c r="D1" i="64"/>
  <c r="C1" i="64"/>
  <c r="B1" i="64"/>
  <c r="A8" i="63"/>
  <c r="A9" i="63" s="1"/>
  <c r="A10" i="63" s="1"/>
  <c r="A11" i="63" s="1"/>
  <c r="A12" i="63" s="1"/>
  <c r="A13" i="63" s="1"/>
  <c r="A14" i="63" s="1"/>
  <c r="A15" i="63" s="1"/>
  <c r="A16" i="63" s="1"/>
  <c r="A17" i="63" s="1"/>
  <c r="A18" i="63" s="1"/>
  <c r="A19" i="63" s="1"/>
  <c r="A20" i="63" s="1"/>
  <c r="A21" i="63" s="1"/>
  <c r="A22" i="63" s="1"/>
  <c r="A23" i="63" s="1"/>
  <c r="A24" i="63" s="1"/>
  <c r="A25" i="63" s="1"/>
  <c r="A26" i="63" s="1"/>
  <c r="A27" i="63" s="1"/>
  <c r="A28" i="63" s="1"/>
  <c r="A29" i="63" s="1"/>
  <c r="A30" i="63" s="1"/>
  <c r="A31" i="63" s="1"/>
  <c r="A32" i="63" s="1"/>
  <c r="A33" i="63" s="1"/>
  <c r="A34" i="63" s="1"/>
  <c r="A35" i="63" s="1"/>
  <c r="A36" i="63" s="1"/>
  <c r="A37" i="63" s="1"/>
  <c r="A38" i="63" s="1"/>
  <c r="A39" i="63" s="1"/>
  <c r="A40" i="63" s="1"/>
  <c r="A41" i="63" s="1"/>
  <c r="A42" i="63" s="1"/>
  <c r="A43" i="63" s="1"/>
  <c r="A44" i="63" s="1"/>
  <c r="A45" i="63" s="1"/>
  <c r="A46" i="63" s="1"/>
  <c r="A47" i="63" s="1"/>
  <c r="A48" i="63" s="1"/>
  <c r="A49" i="63" s="1"/>
  <c r="A50" i="63" s="1"/>
  <c r="A51" i="63" s="1"/>
  <c r="A52" i="63" s="1"/>
  <c r="A53" i="63" s="1"/>
  <c r="A54" i="63" s="1"/>
  <c r="A55" i="63" s="1"/>
  <c r="A56" i="63" s="1"/>
  <c r="A57" i="63" s="1"/>
  <c r="A58" i="63" s="1"/>
  <c r="A59" i="63" s="1"/>
  <c r="A60" i="63" s="1"/>
  <c r="A61" i="63" s="1"/>
  <c r="A62" i="63" s="1"/>
  <c r="A63" i="63" s="1"/>
  <c r="A64" i="63" s="1"/>
  <c r="A65" i="63" s="1"/>
  <c r="A66" i="63" s="1"/>
  <c r="A67" i="63" s="1"/>
  <c r="A68" i="63" s="1"/>
  <c r="A69" i="63" s="1"/>
  <c r="A70" i="63" s="1"/>
  <c r="A71" i="63" s="1"/>
  <c r="A72" i="63" s="1"/>
  <c r="A73" i="63" s="1"/>
  <c r="A74" i="63" s="1"/>
  <c r="A75" i="63" s="1"/>
  <c r="A76" i="63" s="1"/>
  <c r="A77" i="63" s="1"/>
  <c r="A78" i="63" s="1"/>
  <c r="A79" i="63" s="1"/>
  <c r="A80" i="63" s="1"/>
  <c r="A81" i="63" s="1"/>
  <c r="A82" i="63" s="1"/>
  <c r="A83" i="63" s="1"/>
  <c r="A84" i="63" s="1"/>
  <c r="A85" i="63" s="1"/>
  <c r="A86" i="63" s="1"/>
  <c r="A87" i="63" s="1"/>
  <c r="A88" i="63" s="1"/>
  <c r="A89" i="63" s="1"/>
  <c r="A90" i="63" s="1"/>
  <c r="A91" i="63" s="1"/>
  <c r="A7" i="63"/>
  <c r="F1" i="63"/>
  <c r="E1" i="63"/>
  <c r="D1" i="63"/>
  <c r="C1" i="63"/>
  <c r="B1" i="63"/>
  <c r="A8" i="62"/>
  <c r="A9" i="62" s="1"/>
  <c r="A10" i="62" s="1"/>
  <c r="A11" i="62" s="1"/>
  <c r="A12" i="62" s="1"/>
  <c r="A13" i="62" s="1"/>
  <c r="A14" i="62" s="1"/>
  <c r="A15" i="62" s="1"/>
  <c r="A16" i="62" s="1"/>
  <c r="A17" i="62" s="1"/>
  <c r="A18" i="62" s="1"/>
  <c r="A19" i="62" s="1"/>
  <c r="A20" i="62" s="1"/>
  <c r="A21" i="62" s="1"/>
  <c r="A22" i="62" s="1"/>
  <c r="A23" i="62" s="1"/>
  <c r="A24" i="62" s="1"/>
  <c r="A25" i="62" s="1"/>
  <c r="A26" i="62" s="1"/>
  <c r="A27" i="62" s="1"/>
  <c r="A28" i="62" s="1"/>
  <c r="A29" i="62" s="1"/>
  <c r="A30" i="62" s="1"/>
  <c r="A31" i="62" s="1"/>
  <c r="A32" i="62" s="1"/>
  <c r="A33" i="62" s="1"/>
  <c r="A34" i="62" s="1"/>
  <c r="A35" i="62" s="1"/>
  <c r="A36" i="62" s="1"/>
  <c r="A37" i="62" s="1"/>
  <c r="A38" i="62" s="1"/>
  <c r="A39" i="62" s="1"/>
  <c r="A40" i="62" s="1"/>
  <c r="A41" i="62" s="1"/>
  <c r="A42" i="62" s="1"/>
  <c r="A43" i="62" s="1"/>
  <c r="A44" i="62" s="1"/>
  <c r="A45" i="62" s="1"/>
  <c r="A46" i="62" s="1"/>
  <c r="A47" i="62" s="1"/>
  <c r="A48" i="62" s="1"/>
  <c r="A49" i="62" s="1"/>
  <c r="A50" i="62" s="1"/>
  <c r="A51" i="62" s="1"/>
  <c r="A52" i="62" s="1"/>
  <c r="A53" i="62" s="1"/>
  <c r="A54" i="62" s="1"/>
  <c r="A55" i="62" s="1"/>
  <c r="A56" i="62" s="1"/>
  <c r="A57" i="62" s="1"/>
  <c r="A58" i="62" s="1"/>
  <c r="A59" i="62" s="1"/>
  <c r="A60" i="62" s="1"/>
  <c r="A61" i="62" s="1"/>
  <c r="A62" i="62" s="1"/>
  <c r="A63" i="62" s="1"/>
  <c r="A64" i="62" s="1"/>
  <c r="A65" i="62" s="1"/>
  <c r="A66" i="62" s="1"/>
  <c r="A67" i="62" s="1"/>
  <c r="A68" i="62" s="1"/>
  <c r="A69" i="62" s="1"/>
  <c r="A70" i="62" s="1"/>
  <c r="A71" i="62" s="1"/>
  <c r="A72" i="62" s="1"/>
  <c r="A73" i="62" s="1"/>
  <c r="A74" i="62" s="1"/>
  <c r="A75" i="62" s="1"/>
  <c r="A76" i="62" s="1"/>
  <c r="A77" i="62" s="1"/>
  <c r="A78" i="62" s="1"/>
  <c r="A79" i="62" s="1"/>
  <c r="A80" i="62" s="1"/>
  <c r="A81" i="62" s="1"/>
  <c r="A82" i="62" s="1"/>
  <c r="A83" i="62" s="1"/>
  <c r="A84" i="62" s="1"/>
  <c r="A85" i="62" s="1"/>
  <c r="A86" i="62" s="1"/>
  <c r="A87" i="62" s="1"/>
  <c r="A88" i="62" s="1"/>
  <c r="A89" i="62" s="1"/>
  <c r="A90" i="62" s="1"/>
  <c r="A91" i="62" s="1"/>
  <c r="A7" i="62"/>
  <c r="F1" i="62"/>
  <c r="E1" i="62"/>
  <c r="D1" i="62"/>
  <c r="C1" i="62"/>
  <c r="B1" i="62"/>
  <c r="A8" i="61"/>
  <c r="A9" i="61" s="1"/>
  <c r="A10" i="61" s="1"/>
  <c r="A11" i="61" s="1"/>
  <c r="A12" i="61" s="1"/>
  <c r="A13" i="61" s="1"/>
  <c r="A14" i="61" s="1"/>
  <c r="A15" i="61" s="1"/>
  <c r="A16" i="61" s="1"/>
  <c r="A17" i="61" s="1"/>
  <c r="A18" i="61" s="1"/>
  <c r="A19" i="61" s="1"/>
  <c r="A20" i="61" s="1"/>
  <c r="A21" i="61" s="1"/>
  <c r="A22" i="61" s="1"/>
  <c r="A23" i="61" s="1"/>
  <c r="A24" i="61" s="1"/>
  <c r="A25" i="61" s="1"/>
  <c r="A26" i="61" s="1"/>
  <c r="A27" i="61" s="1"/>
  <c r="A28" i="61" s="1"/>
  <c r="A29" i="61" s="1"/>
  <c r="A30" i="61" s="1"/>
  <c r="A31" i="61" s="1"/>
  <c r="A32" i="61" s="1"/>
  <c r="A33" i="61" s="1"/>
  <c r="A34" i="61" s="1"/>
  <c r="A35" i="61" s="1"/>
  <c r="A36" i="61" s="1"/>
  <c r="A37" i="61" s="1"/>
  <c r="A38" i="61" s="1"/>
  <c r="A39" i="61" s="1"/>
  <c r="A40" i="61" s="1"/>
  <c r="A41" i="61" s="1"/>
  <c r="A42" i="61" s="1"/>
  <c r="A43" i="61" s="1"/>
  <c r="A44" i="61" s="1"/>
  <c r="A45" i="61" s="1"/>
  <c r="A46" i="61" s="1"/>
  <c r="A47" i="61" s="1"/>
  <c r="A48" i="61" s="1"/>
  <c r="A49" i="61" s="1"/>
  <c r="A50" i="61" s="1"/>
  <c r="A51" i="61" s="1"/>
  <c r="A52" i="61" s="1"/>
  <c r="A53" i="61" s="1"/>
  <c r="A54" i="61" s="1"/>
  <c r="A55" i="61" s="1"/>
  <c r="A56" i="61" s="1"/>
  <c r="A57" i="61" s="1"/>
  <c r="A58" i="61" s="1"/>
  <c r="A59" i="61" s="1"/>
  <c r="A60" i="61" s="1"/>
  <c r="A61" i="61" s="1"/>
  <c r="A62" i="61" s="1"/>
  <c r="A63" i="61" s="1"/>
  <c r="A64" i="61" s="1"/>
  <c r="A65" i="61" s="1"/>
  <c r="A66" i="61" s="1"/>
  <c r="A67" i="61" s="1"/>
  <c r="A68" i="61" s="1"/>
  <c r="A69" i="61" s="1"/>
  <c r="A70" i="61" s="1"/>
  <c r="A71" i="61" s="1"/>
  <c r="A72" i="61" s="1"/>
  <c r="A73" i="61" s="1"/>
  <c r="A74" i="61" s="1"/>
  <c r="A75" i="61" s="1"/>
  <c r="A76" i="61" s="1"/>
  <c r="A77" i="61" s="1"/>
  <c r="A78" i="61" s="1"/>
  <c r="A79" i="61" s="1"/>
  <c r="A80" i="61" s="1"/>
  <c r="A81" i="61" s="1"/>
  <c r="A82" i="61" s="1"/>
  <c r="A83" i="61" s="1"/>
  <c r="A84" i="61" s="1"/>
  <c r="A85" i="61" s="1"/>
  <c r="A86" i="61" s="1"/>
  <c r="A87" i="61" s="1"/>
  <c r="A88" i="61" s="1"/>
  <c r="A89" i="61" s="1"/>
  <c r="A90" i="61" s="1"/>
  <c r="A91" i="61" s="1"/>
  <c r="A7" i="61"/>
  <c r="F1" i="61"/>
  <c r="E1" i="61"/>
  <c r="D1" i="61"/>
  <c r="C1" i="61"/>
  <c r="B1" i="61"/>
  <c r="A8" i="56"/>
  <c r="A9" i="56" s="1"/>
  <c r="A10" i="56" s="1"/>
  <c r="A11" i="56" s="1"/>
  <c r="A12" i="56" s="1"/>
  <c r="A13" i="56" s="1"/>
  <c r="A14" i="56" s="1"/>
  <c r="A15" i="56" s="1"/>
  <c r="A16" i="56" s="1"/>
  <c r="A17" i="56" s="1"/>
  <c r="A18" i="56" s="1"/>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A69" i="56" s="1"/>
  <c r="A70" i="56" s="1"/>
  <c r="A71" i="56" s="1"/>
  <c r="A72" i="56" s="1"/>
  <c r="A73" i="56" s="1"/>
  <c r="A74" i="56" s="1"/>
  <c r="A75" i="56" s="1"/>
  <c r="A76" i="56" s="1"/>
  <c r="A77" i="56" s="1"/>
  <c r="A78" i="56" s="1"/>
  <c r="A79" i="56" s="1"/>
  <c r="A80" i="56" s="1"/>
  <c r="A81" i="56" s="1"/>
  <c r="A82" i="56" s="1"/>
  <c r="A83" i="56" s="1"/>
  <c r="A84" i="56" s="1"/>
  <c r="A85" i="56" s="1"/>
  <c r="A86" i="56" s="1"/>
  <c r="A87" i="56" s="1"/>
  <c r="A88" i="56" s="1"/>
  <c r="A89" i="56" s="1"/>
  <c r="A90" i="56" s="1"/>
  <c r="A91" i="56" s="1"/>
  <c r="A7" i="56"/>
  <c r="F1" i="56"/>
  <c r="E1" i="56"/>
  <c r="D1" i="56"/>
  <c r="C1" i="56"/>
  <c r="B1" i="56"/>
  <c r="A8" i="57"/>
  <c r="A9" i="57" s="1"/>
  <c r="A10" i="57" s="1"/>
  <c r="A11" i="57" s="1"/>
  <c r="A12" i="57" s="1"/>
  <c r="A13" i="57" s="1"/>
  <c r="A14" i="57" s="1"/>
  <c r="A15" i="57" s="1"/>
  <c r="A16" i="57" s="1"/>
  <c r="A17" i="57" s="1"/>
  <c r="A18" i="57" s="1"/>
  <c r="A19" i="57" s="1"/>
  <c r="A20" i="57" s="1"/>
  <c r="A21" i="57" s="1"/>
  <c r="A22" i="57" s="1"/>
  <c r="A23" i="57" s="1"/>
  <c r="A24" i="57" s="1"/>
  <c r="A25" i="57" s="1"/>
  <c r="A26" i="57" s="1"/>
  <c r="A27" i="57" s="1"/>
  <c r="A28" i="57" s="1"/>
  <c r="A29" i="57" s="1"/>
  <c r="A30" i="57" s="1"/>
  <c r="A31" i="57" s="1"/>
  <c r="A32" i="57" s="1"/>
  <c r="A33" i="57" s="1"/>
  <c r="A34" i="57" s="1"/>
  <c r="A35" i="57" s="1"/>
  <c r="A36" i="57" s="1"/>
  <c r="A37" i="57" s="1"/>
  <c r="A38" i="57" s="1"/>
  <c r="A39" i="57" s="1"/>
  <c r="A40" i="57" s="1"/>
  <c r="A41" i="57" s="1"/>
  <c r="A42" i="57" s="1"/>
  <c r="A43" i="57" s="1"/>
  <c r="A44" i="57" s="1"/>
  <c r="A45" i="57" s="1"/>
  <c r="A46" i="57" s="1"/>
  <c r="A47" i="57" s="1"/>
  <c r="A48" i="57" s="1"/>
  <c r="A49" i="57" s="1"/>
  <c r="A50" i="57" s="1"/>
  <c r="A51" i="57" s="1"/>
  <c r="A52" i="57" s="1"/>
  <c r="A53" i="57" s="1"/>
  <c r="A54" i="57" s="1"/>
  <c r="A55" i="57" s="1"/>
  <c r="A56" i="57" s="1"/>
  <c r="A57" i="57" s="1"/>
  <c r="A58" i="57" s="1"/>
  <c r="A59" i="57" s="1"/>
  <c r="A60" i="57" s="1"/>
  <c r="A61" i="57" s="1"/>
  <c r="A62" i="57" s="1"/>
  <c r="A63" i="57" s="1"/>
  <c r="A64" i="57" s="1"/>
  <c r="A65" i="57" s="1"/>
  <c r="A66" i="57" s="1"/>
  <c r="A67" i="57" s="1"/>
  <c r="A68" i="57" s="1"/>
  <c r="A69" i="57" s="1"/>
  <c r="A70" i="57" s="1"/>
  <c r="A71" i="57" s="1"/>
  <c r="A72" i="57" s="1"/>
  <c r="A73" i="57" s="1"/>
  <c r="A74" i="57" s="1"/>
  <c r="A75" i="57" s="1"/>
  <c r="A76" i="57" s="1"/>
  <c r="A77" i="57" s="1"/>
  <c r="A78" i="57" s="1"/>
  <c r="A79" i="57" s="1"/>
  <c r="A80" i="57" s="1"/>
  <c r="A81" i="57" s="1"/>
  <c r="A82" i="57" s="1"/>
  <c r="A83" i="57" s="1"/>
  <c r="A84" i="57" s="1"/>
  <c r="A85" i="57" s="1"/>
  <c r="A86" i="57" s="1"/>
  <c r="A87" i="57" s="1"/>
  <c r="A88" i="57" s="1"/>
  <c r="A89" i="57" s="1"/>
  <c r="A90" i="57" s="1"/>
  <c r="A91" i="57" s="1"/>
  <c r="A7" i="57"/>
  <c r="F1" i="57"/>
  <c r="E1" i="57"/>
  <c r="D1" i="57"/>
  <c r="C1" i="57"/>
  <c r="B1" i="57"/>
  <c r="A8" i="58"/>
  <c r="A9" i="58" s="1"/>
  <c r="A10" i="58" s="1"/>
  <c r="A11" i="58" s="1"/>
  <c r="A12" i="58" s="1"/>
  <c r="A13" i="58" s="1"/>
  <c r="A14" i="58" s="1"/>
  <c r="A15" i="58" s="1"/>
  <c r="A16" i="58" s="1"/>
  <c r="A17" i="58" s="1"/>
  <c r="A18" i="58" s="1"/>
  <c r="A19" i="58" s="1"/>
  <c r="A20" i="58" s="1"/>
  <c r="A21" i="58" s="1"/>
  <c r="A22" i="58" s="1"/>
  <c r="A23" i="58" s="1"/>
  <c r="A24" i="58" s="1"/>
  <c r="A25" i="58" s="1"/>
  <c r="A26" i="58" s="1"/>
  <c r="A27" i="58" s="1"/>
  <c r="A28" i="58" s="1"/>
  <c r="A29" i="58" s="1"/>
  <c r="A30" i="58" s="1"/>
  <c r="A31" i="58" s="1"/>
  <c r="A32" i="58" s="1"/>
  <c r="A33" i="58" s="1"/>
  <c r="A34" i="58" s="1"/>
  <c r="A35" i="58" s="1"/>
  <c r="A36" i="58" s="1"/>
  <c r="A37" i="58" s="1"/>
  <c r="A38" i="58" s="1"/>
  <c r="A39" i="58" s="1"/>
  <c r="A40" i="58" s="1"/>
  <c r="A41" i="58" s="1"/>
  <c r="A42" i="58" s="1"/>
  <c r="A43" i="58" s="1"/>
  <c r="A44" i="58" s="1"/>
  <c r="A45" i="58" s="1"/>
  <c r="A46" i="58" s="1"/>
  <c r="A47" i="58" s="1"/>
  <c r="A48" i="58" s="1"/>
  <c r="A49" i="58" s="1"/>
  <c r="A50" i="58" s="1"/>
  <c r="A51" i="58" s="1"/>
  <c r="A52" i="58" s="1"/>
  <c r="A53" i="58" s="1"/>
  <c r="A54" i="58" s="1"/>
  <c r="A55" i="58" s="1"/>
  <c r="A56" i="58" s="1"/>
  <c r="A57" i="58" s="1"/>
  <c r="A58" i="58" s="1"/>
  <c r="A59" i="58" s="1"/>
  <c r="A60" i="58" s="1"/>
  <c r="A61" i="58" s="1"/>
  <c r="A62" i="58" s="1"/>
  <c r="A63" i="58" s="1"/>
  <c r="A64" i="58" s="1"/>
  <c r="A65" i="58" s="1"/>
  <c r="A66" i="58" s="1"/>
  <c r="A67" i="58" s="1"/>
  <c r="A68" i="58" s="1"/>
  <c r="A69" i="58" s="1"/>
  <c r="A70" i="58" s="1"/>
  <c r="A71" i="58" s="1"/>
  <c r="A72" i="58" s="1"/>
  <c r="A73" i="58" s="1"/>
  <c r="A74" i="58" s="1"/>
  <c r="A75" i="58" s="1"/>
  <c r="A76" i="58" s="1"/>
  <c r="A77" i="58" s="1"/>
  <c r="A78" i="58" s="1"/>
  <c r="A79" i="58" s="1"/>
  <c r="A80" i="58" s="1"/>
  <c r="A81" i="58" s="1"/>
  <c r="A82" i="58" s="1"/>
  <c r="A83" i="58" s="1"/>
  <c r="A84" i="58" s="1"/>
  <c r="A85" i="58" s="1"/>
  <c r="A86" i="58" s="1"/>
  <c r="A87" i="58" s="1"/>
  <c r="A88" i="58" s="1"/>
  <c r="A89" i="58" s="1"/>
  <c r="A90" i="58" s="1"/>
  <c r="A91" i="58" s="1"/>
  <c r="A7" i="58"/>
  <c r="F1" i="58"/>
  <c r="E1" i="58"/>
  <c r="D1" i="58"/>
  <c r="C1" i="58"/>
  <c r="B1" i="58"/>
  <c r="A8" i="59"/>
  <c r="A9" i="59" s="1"/>
  <c r="A10" i="59" s="1"/>
  <c r="A11" i="59" s="1"/>
  <c r="A12" i="59" s="1"/>
  <c r="A13" i="59" s="1"/>
  <c r="A14" i="59" s="1"/>
  <c r="A15" i="59" s="1"/>
  <c r="A16" i="59" s="1"/>
  <c r="A17" i="59" s="1"/>
  <c r="A18" i="59" s="1"/>
  <c r="A19" i="59" s="1"/>
  <c r="A20" i="59" s="1"/>
  <c r="A21" i="59" s="1"/>
  <c r="A22" i="59" s="1"/>
  <c r="A23" i="59" s="1"/>
  <c r="A24" i="59" s="1"/>
  <c r="A25" i="59" s="1"/>
  <c r="A26" i="59" s="1"/>
  <c r="A27" i="59" s="1"/>
  <c r="A28" i="59" s="1"/>
  <c r="A29" i="59" s="1"/>
  <c r="A30" i="59" s="1"/>
  <c r="A31" i="59" s="1"/>
  <c r="A32" i="59" s="1"/>
  <c r="A33" i="59" s="1"/>
  <c r="A34" i="59" s="1"/>
  <c r="A35" i="59" s="1"/>
  <c r="A36" i="59" s="1"/>
  <c r="A37" i="59" s="1"/>
  <c r="A38" i="59" s="1"/>
  <c r="A39" i="59" s="1"/>
  <c r="A40" i="59" s="1"/>
  <c r="A41" i="59" s="1"/>
  <c r="A42" i="59" s="1"/>
  <c r="A43" i="59" s="1"/>
  <c r="A44" i="59" s="1"/>
  <c r="A45" i="59" s="1"/>
  <c r="A46" i="59" s="1"/>
  <c r="A47" i="59" s="1"/>
  <c r="A48" i="59" s="1"/>
  <c r="A49" i="59" s="1"/>
  <c r="A50" i="59" s="1"/>
  <c r="A51" i="59" s="1"/>
  <c r="A52" i="59" s="1"/>
  <c r="A53" i="59" s="1"/>
  <c r="A54" i="59" s="1"/>
  <c r="A55" i="59" s="1"/>
  <c r="A56" i="59" s="1"/>
  <c r="A57" i="59" s="1"/>
  <c r="A58" i="59" s="1"/>
  <c r="A59" i="59" s="1"/>
  <c r="A60" i="59" s="1"/>
  <c r="A61" i="59" s="1"/>
  <c r="A62" i="59" s="1"/>
  <c r="A63" i="59" s="1"/>
  <c r="A64" i="59" s="1"/>
  <c r="A65" i="59" s="1"/>
  <c r="A66" i="59" s="1"/>
  <c r="A67" i="59" s="1"/>
  <c r="A68" i="59" s="1"/>
  <c r="A69" i="59" s="1"/>
  <c r="A70" i="59" s="1"/>
  <c r="A71" i="59" s="1"/>
  <c r="A72" i="59" s="1"/>
  <c r="A73" i="59" s="1"/>
  <c r="A74" i="59" s="1"/>
  <c r="A75" i="59" s="1"/>
  <c r="A76" i="59" s="1"/>
  <c r="A77" i="59" s="1"/>
  <c r="A78" i="59" s="1"/>
  <c r="A79" i="59" s="1"/>
  <c r="A80" i="59" s="1"/>
  <c r="A81" i="59" s="1"/>
  <c r="A82" i="59" s="1"/>
  <c r="A83" i="59" s="1"/>
  <c r="A84" i="59" s="1"/>
  <c r="A85" i="59" s="1"/>
  <c r="A86" i="59" s="1"/>
  <c r="A87" i="59" s="1"/>
  <c r="A88" i="59" s="1"/>
  <c r="A89" i="59" s="1"/>
  <c r="A90" i="59" s="1"/>
  <c r="A91" i="59" s="1"/>
  <c r="A7" i="59"/>
  <c r="F1" i="59"/>
  <c r="E1" i="59"/>
  <c r="D1" i="59"/>
  <c r="C1" i="59"/>
  <c r="B1" i="59"/>
  <c r="A8" i="60"/>
  <c r="A9" i="60" s="1"/>
  <c r="A10" i="60" s="1"/>
  <c r="A11" i="60" s="1"/>
  <c r="A12" i="60" s="1"/>
  <c r="A13" i="60" s="1"/>
  <c r="A14" i="60" s="1"/>
  <c r="A15" i="60" s="1"/>
  <c r="A16" i="60" s="1"/>
  <c r="A17" i="60" s="1"/>
  <c r="A18" i="60" s="1"/>
  <c r="A19" i="60" s="1"/>
  <c r="A20" i="60" s="1"/>
  <c r="A21" i="60" s="1"/>
  <c r="A22" i="60" s="1"/>
  <c r="A23" i="60" s="1"/>
  <c r="A24" i="60" s="1"/>
  <c r="A25" i="60" s="1"/>
  <c r="A26" i="60" s="1"/>
  <c r="A27" i="60" s="1"/>
  <c r="A28" i="60" s="1"/>
  <c r="A29" i="60" s="1"/>
  <c r="A30" i="60" s="1"/>
  <c r="A31" i="60" s="1"/>
  <c r="A32" i="60" s="1"/>
  <c r="A33" i="60" s="1"/>
  <c r="A34" i="60" s="1"/>
  <c r="A35" i="60" s="1"/>
  <c r="A36" i="60" s="1"/>
  <c r="A37" i="60" s="1"/>
  <c r="A38" i="60" s="1"/>
  <c r="A39" i="60" s="1"/>
  <c r="A40" i="60" s="1"/>
  <c r="A41" i="60" s="1"/>
  <c r="A42" i="60" s="1"/>
  <c r="A43" i="60" s="1"/>
  <c r="A44" i="60" s="1"/>
  <c r="A45" i="60" s="1"/>
  <c r="A46" i="60" s="1"/>
  <c r="A47" i="60" s="1"/>
  <c r="A48" i="60" s="1"/>
  <c r="A49" i="60" s="1"/>
  <c r="A50" i="60" s="1"/>
  <c r="A51" i="60" s="1"/>
  <c r="A52" i="60" s="1"/>
  <c r="A53" i="60" s="1"/>
  <c r="A54" i="60" s="1"/>
  <c r="A55" i="60" s="1"/>
  <c r="A56" i="60" s="1"/>
  <c r="A57" i="60" s="1"/>
  <c r="A58" i="60" s="1"/>
  <c r="A59" i="60" s="1"/>
  <c r="A60" i="60" s="1"/>
  <c r="A61" i="60" s="1"/>
  <c r="A62" i="60" s="1"/>
  <c r="A63" i="60" s="1"/>
  <c r="A64" i="60" s="1"/>
  <c r="A65" i="60" s="1"/>
  <c r="A66" i="60" s="1"/>
  <c r="A67" i="60" s="1"/>
  <c r="A68" i="60" s="1"/>
  <c r="A69" i="60" s="1"/>
  <c r="A70" i="60" s="1"/>
  <c r="A71" i="60" s="1"/>
  <c r="A72" i="60" s="1"/>
  <c r="A73" i="60" s="1"/>
  <c r="A74" i="60" s="1"/>
  <c r="A75" i="60" s="1"/>
  <c r="A76" i="60" s="1"/>
  <c r="A77" i="60" s="1"/>
  <c r="A78" i="60" s="1"/>
  <c r="A79" i="60" s="1"/>
  <c r="A80" i="60" s="1"/>
  <c r="A81" i="60" s="1"/>
  <c r="A82" i="60" s="1"/>
  <c r="A83" i="60" s="1"/>
  <c r="A84" i="60" s="1"/>
  <c r="A85" i="60" s="1"/>
  <c r="A86" i="60" s="1"/>
  <c r="A87" i="60" s="1"/>
  <c r="A88" i="60" s="1"/>
  <c r="A89" i="60" s="1"/>
  <c r="A90" i="60" s="1"/>
  <c r="A91" i="60" s="1"/>
  <c r="A7" i="60"/>
  <c r="F1" i="60"/>
  <c r="E1" i="60"/>
  <c r="D1" i="60"/>
  <c r="C1" i="60"/>
  <c r="B1" i="60"/>
  <c r="A8" i="55"/>
  <c r="A9" i="55" s="1"/>
  <c r="A10" i="55" s="1"/>
  <c r="A11" i="55" s="1"/>
  <c r="A12" i="55" s="1"/>
  <c r="A13" i="55" s="1"/>
  <c r="A14" i="55" s="1"/>
  <c r="A15" i="55" s="1"/>
  <c r="A16" i="55" s="1"/>
  <c r="A17" i="55" s="1"/>
  <c r="A18" i="55" s="1"/>
  <c r="A19" i="55" s="1"/>
  <c r="A20" i="55" s="1"/>
  <c r="A21" i="55" s="1"/>
  <c r="A22" i="55" s="1"/>
  <c r="A23" i="55" s="1"/>
  <c r="A24" i="55" s="1"/>
  <c r="A25" i="55" s="1"/>
  <c r="A26" i="55" s="1"/>
  <c r="A27" i="55" s="1"/>
  <c r="A28" i="55" s="1"/>
  <c r="A29" i="55" s="1"/>
  <c r="A30" i="55" s="1"/>
  <c r="A31" i="55" s="1"/>
  <c r="A32" i="55" s="1"/>
  <c r="A33" i="55" s="1"/>
  <c r="A34" i="55" s="1"/>
  <c r="A35" i="55" s="1"/>
  <c r="A36" i="55" s="1"/>
  <c r="A37" i="55" s="1"/>
  <c r="A38" i="55" s="1"/>
  <c r="A39" i="55" s="1"/>
  <c r="A40" i="55" s="1"/>
  <c r="A41" i="55" s="1"/>
  <c r="A42" i="55" s="1"/>
  <c r="A43" i="55" s="1"/>
  <c r="A44" i="55" s="1"/>
  <c r="A45" i="55" s="1"/>
  <c r="A46" i="55" s="1"/>
  <c r="A47" i="55" s="1"/>
  <c r="A48" i="55" s="1"/>
  <c r="A49" i="55" s="1"/>
  <c r="A50" i="55" s="1"/>
  <c r="A51" i="55" s="1"/>
  <c r="A52" i="55" s="1"/>
  <c r="A53" i="55" s="1"/>
  <c r="A54" i="55" s="1"/>
  <c r="A55" i="55" s="1"/>
  <c r="A56" i="55" s="1"/>
  <c r="A57" i="55" s="1"/>
  <c r="A58" i="55" s="1"/>
  <c r="A59" i="55" s="1"/>
  <c r="A60" i="55" s="1"/>
  <c r="A61" i="55" s="1"/>
  <c r="A62" i="55" s="1"/>
  <c r="A63" i="55" s="1"/>
  <c r="A64" i="55" s="1"/>
  <c r="A65" i="55" s="1"/>
  <c r="A66" i="55" s="1"/>
  <c r="A67" i="55" s="1"/>
  <c r="A68" i="55" s="1"/>
  <c r="A69" i="55" s="1"/>
  <c r="A70" i="55" s="1"/>
  <c r="A71" i="55" s="1"/>
  <c r="A72" i="55" s="1"/>
  <c r="A73" i="55" s="1"/>
  <c r="A74" i="55" s="1"/>
  <c r="A75" i="55" s="1"/>
  <c r="A76" i="55" s="1"/>
  <c r="A77" i="55" s="1"/>
  <c r="A78" i="55" s="1"/>
  <c r="A79" i="55" s="1"/>
  <c r="A80" i="55" s="1"/>
  <c r="A81" i="55" s="1"/>
  <c r="A82" i="55" s="1"/>
  <c r="A83" i="55" s="1"/>
  <c r="A84" i="55" s="1"/>
  <c r="A85" i="55" s="1"/>
  <c r="A86" i="55" s="1"/>
  <c r="A87" i="55" s="1"/>
  <c r="A88" i="55" s="1"/>
  <c r="A89" i="55" s="1"/>
  <c r="A90" i="55" s="1"/>
  <c r="A91" i="55" s="1"/>
  <c r="A7" i="55"/>
  <c r="F1" i="55"/>
  <c r="E1" i="55"/>
  <c r="D1" i="55"/>
  <c r="C1" i="55"/>
  <c r="B1" i="55"/>
  <c r="A8" i="54"/>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7" i="54"/>
  <c r="F1" i="54"/>
  <c r="E1" i="54"/>
  <c r="D1" i="54"/>
  <c r="C1" i="54"/>
  <c r="B1" i="54"/>
  <c r="A8" i="53"/>
  <c r="A9" i="53" s="1"/>
  <c r="A10" i="53" s="1"/>
  <c r="A11" i="53" s="1"/>
  <c r="A12" i="53" s="1"/>
  <c r="A13" i="53" s="1"/>
  <c r="A14" i="53" s="1"/>
  <c r="A15" i="53" s="1"/>
  <c r="A16" i="53" s="1"/>
  <c r="A17" i="53" s="1"/>
  <c r="A18" i="53" s="1"/>
  <c r="A19" i="53" s="1"/>
  <c r="A20" i="53" s="1"/>
  <c r="A21" i="53" s="1"/>
  <c r="A22" i="53" s="1"/>
  <c r="A23" i="53" s="1"/>
  <c r="A24" i="53" s="1"/>
  <c r="A25" i="53" s="1"/>
  <c r="A26" i="53" s="1"/>
  <c r="A27" i="53" s="1"/>
  <c r="A28" i="53" s="1"/>
  <c r="A29" i="53" s="1"/>
  <c r="A30" i="53" s="1"/>
  <c r="A31" i="53" s="1"/>
  <c r="A32" i="53" s="1"/>
  <c r="A33" i="53" s="1"/>
  <c r="A34" i="53" s="1"/>
  <c r="A35" i="53" s="1"/>
  <c r="A36" i="53" s="1"/>
  <c r="A37" i="53" s="1"/>
  <c r="A38" i="53" s="1"/>
  <c r="A39" i="53" s="1"/>
  <c r="A40" i="53" s="1"/>
  <c r="A41" i="53" s="1"/>
  <c r="A42" i="53" s="1"/>
  <c r="A43" i="53" s="1"/>
  <c r="A44" i="53" s="1"/>
  <c r="A45" i="53" s="1"/>
  <c r="A46" i="53" s="1"/>
  <c r="A47" i="53" s="1"/>
  <c r="A48" i="53" s="1"/>
  <c r="A49" i="53" s="1"/>
  <c r="A50" i="53" s="1"/>
  <c r="A51" i="53" s="1"/>
  <c r="A52" i="53" s="1"/>
  <c r="A53" i="53" s="1"/>
  <c r="A54" i="53" s="1"/>
  <c r="A55" i="53" s="1"/>
  <c r="A56" i="53" s="1"/>
  <c r="A57" i="53" s="1"/>
  <c r="A58" i="53" s="1"/>
  <c r="A59" i="53" s="1"/>
  <c r="A60" i="53" s="1"/>
  <c r="A61" i="53" s="1"/>
  <c r="A62" i="53" s="1"/>
  <c r="A63" i="53" s="1"/>
  <c r="A64" i="53" s="1"/>
  <c r="A65" i="53" s="1"/>
  <c r="A66" i="53" s="1"/>
  <c r="A67" i="53" s="1"/>
  <c r="A68" i="53" s="1"/>
  <c r="A69" i="53" s="1"/>
  <c r="A70" i="53" s="1"/>
  <c r="A71" i="53" s="1"/>
  <c r="A72" i="53" s="1"/>
  <c r="A73" i="53" s="1"/>
  <c r="A74" i="53" s="1"/>
  <c r="A75" i="53" s="1"/>
  <c r="A76" i="53" s="1"/>
  <c r="A77" i="53" s="1"/>
  <c r="A78" i="53" s="1"/>
  <c r="A79" i="53" s="1"/>
  <c r="A80" i="53" s="1"/>
  <c r="A81" i="53" s="1"/>
  <c r="A82" i="53" s="1"/>
  <c r="A83" i="53" s="1"/>
  <c r="A84" i="53" s="1"/>
  <c r="A85" i="53" s="1"/>
  <c r="A86" i="53" s="1"/>
  <c r="A87" i="53" s="1"/>
  <c r="A88" i="53" s="1"/>
  <c r="A89" i="53" s="1"/>
  <c r="A90" i="53" s="1"/>
  <c r="A91" i="53" s="1"/>
  <c r="A7" i="53"/>
  <c r="F1" i="53"/>
  <c r="E1" i="53"/>
  <c r="D1" i="53"/>
  <c r="C1" i="53"/>
  <c r="B1" i="53"/>
  <c r="A8" i="52"/>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68" i="52" s="1"/>
  <c r="A69" i="52" s="1"/>
  <c r="A70" i="52" s="1"/>
  <c r="A71" i="52" s="1"/>
  <c r="A72" i="52" s="1"/>
  <c r="A73" i="52" s="1"/>
  <c r="A74" i="52" s="1"/>
  <c r="A75" i="52" s="1"/>
  <c r="A76" i="52" s="1"/>
  <c r="A77" i="52" s="1"/>
  <c r="A78" i="52" s="1"/>
  <c r="A79" i="52" s="1"/>
  <c r="A80" i="52" s="1"/>
  <c r="A81" i="52" s="1"/>
  <c r="A82" i="52" s="1"/>
  <c r="A83" i="52" s="1"/>
  <c r="A84" i="52" s="1"/>
  <c r="A85" i="52" s="1"/>
  <c r="A86" i="52" s="1"/>
  <c r="A87" i="52" s="1"/>
  <c r="A88" i="52" s="1"/>
  <c r="A89" i="52" s="1"/>
  <c r="A90" i="52" s="1"/>
  <c r="A91" i="52" s="1"/>
  <c r="A7" i="52"/>
  <c r="F1" i="52"/>
  <c r="E1" i="52"/>
  <c r="D1" i="52"/>
  <c r="C1" i="52"/>
  <c r="B1" i="52"/>
  <c r="A8" i="51"/>
  <c r="A9" i="51" s="1"/>
  <c r="A10" i="51" s="1"/>
  <c r="A11" i="51" s="1"/>
  <c r="A12" i="51" s="1"/>
  <c r="A13" i="51" s="1"/>
  <c r="A14" i="51" s="1"/>
  <c r="A15" i="51" s="1"/>
  <c r="A16" i="51" s="1"/>
  <c r="A17" i="51" s="1"/>
  <c r="A18" i="51" s="1"/>
  <c r="A19" i="51" s="1"/>
  <c r="A20" i="51" s="1"/>
  <c r="A21" i="51" s="1"/>
  <c r="A22" i="51" s="1"/>
  <c r="A23" i="51" s="1"/>
  <c r="A24" i="51" s="1"/>
  <c r="A25" i="51" s="1"/>
  <c r="A26" i="51" s="1"/>
  <c r="A27" i="51" s="1"/>
  <c r="A28" i="51" s="1"/>
  <c r="A29" i="51" s="1"/>
  <c r="A30" i="51" s="1"/>
  <c r="A31" i="51" s="1"/>
  <c r="A32" i="51" s="1"/>
  <c r="A33" i="51" s="1"/>
  <c r="A34" i="51" s="1"/>
  <c r="A35" i="51" s="1"/>
  <c r="A36" i="51" s="1"/>
  <c r="A37" i="51" s="1"/>
  <c r="A38" i="51" s="1"/>
  <c r="A39" i="51" s="1"/>
  <c r="A40" i="51" s="1"/>
  <c r="A41" i="51" s="1"/>
  <c r="A42" i="51" s="1"/>
  <c r="A43" i="51" s="1"/>
  <c r="A44" i="51" s="1"/>
  <c r="A45" i="51" s="1"/>
  <c r="A46" i="51" s="1"/>
  <c r="A47" i="51" s="1"/>
  <c r="A48" i="51" s="1"/>
  <c r="A49" i="51" s="1"/>
  <c r="A50" i="51" s="1"/>
  <c r="A51" i="51" s="1"/>
  <c r="A52" i="51" s="1"/>
  <c r="A53" i="51" s="1"/>
  <c r="A54" i="51" s="1"/>
  <c r="A55" i="51" s="1"/>
  <c r="A56" i="51" s="1"/>
  <c r="A57" i="51" s="1"/>
  <c r="A58" i="51" s="1"/>
  <c r="A59" i="51" s="1"/>
  <c r="A60" i="51" s="1"/>
  <c r="A61" i="51" s="1"/>
  <c r="A62" i="51" s="1"/>
  <c r="A63" i="51" s="1"/>
  <c r="A64" i="51" s="1"/>
  <c r="A65" i="51" s="1"/>
  <c r="A66" i="51" s="1"/>
  <c r="A67" i="51" s="1"/>
  <c r="A68" i="51" s="1"/>
  <c r="A69" i="51" s="1"/>
  <c r="A70" i="51" s="1"/>
  <c r="A71" i="51" s="1"/>
  <c r="A72" i="51" s="1"/>
  <c r="A73" i="51" s="1"/>
  <c r="A74" i="51" s="1"/>
  <c r="A75" i="51" s="1"/>
  <c r="A76" i="51" s="1"/>
  <c r="A77" i="51" s="1"/>
  <c r="A78" i="51" s="1"/>
  <c r="A79" i="51" s="1"/>
  <c r="A80" i="51" s="1"/>
  <c r="A81" i="51" s="1"/>
  <c r="A82" i="51" s="1"/>
  <c r="A83" i="51" s="1"/>
  <c r="A84" i="51" s="1"/>
  <c r="A85" i="51" s="1"/>
  <c r="A86" i="51" s="1"/>
  <c r="A87" i="51" s="1"/>
  <c r="A88" i="51" s="1"/>
  <c r="A89" i="51" s="1"/>
  <c r="A90" i="51" s="1"/>
  <c r="A91" i="51" s="1"/>
  <c r="A7" i="51"/>
  <c r="F1" i="51"/>
  <c r="E1" i="51"/>
  <c r="D1" i="51"/>
  <c r="C1" i="51"/>
  <c r="B1" i="51"/>
  <c r="A8" i="50"/>
  <c r="A9" i="50" s="1"/>
  <c r="A10" i="50" s="1"/>
  <c r="A11" i="50" s="1"/>
  <c r="A12" i="50" s="1"/>
  <c r="A13" i="50" s="1"/>
  <c r="A14" i="50" s="1"/>
  <c r="A15" i="50" s="1"/>
  <c r="A16" i="50" s="1"/>
  <c r="A17" i="50" s="1"/>
  <c r="A18" i="50" s="1"/>
  <c r="A19" i="50" s="1"/>
  <c r="A20" i="50" s="1"/>
  <c r="A21" i="50" s="1"/>
  <c r="A22" i="50" s="1"/>
  <c r="A23" i="50" s="1"/>
  <c r="A24" i="50" s="1"/>
  <c r="A25" i="50" s="1"/>
  <c r="A26" i="50" s="1"/>
  <c r="A27" i="50" s="1"/>
  <c r="A28" i="50" s="1"/>
  <c r="A29" i="50" s="1"/>
  <c r="A30" i="50" s="1"/>
  <c r="A31" i="50" s="1"/>
  <c r="A32" i="50" s="1"/>
  <c r="A33" i="50" s="1"/>
  <c r="A34" i="50" s="1"/>
  <c r="A35" i="50" s="1"/>
  <c r="A36" i="50" s="1"/>
  <c r="A37" i="50" s="1"/>
  <c r="A38" i="50" s="1"/>
  <c r="A39" i="50" s="1"/>
  <c r="A40" i="50" s="1"/>
  <c r="A41" i="50" s="1"/>
  <c r="A42" i="50" s="1"/>
  <c r="A43" i="50" s="1"/>
  <c r="A44" i="50" s="1"/>
  <c r="A45" i="50" s="1"/>
  <c r="A46" i="50" s="1"/>
  <c r="A47" i="50" s="1"/>
  <c r="A48" i="50" s="1"/>
  <c r="A49" i="50" s="1"/>
  <c r="A50" i="50" s="1"/>
  <c r="A51" i="50" s="1"/>
  <c r="A52" i="50" s="1"/>
  <c r="A53" i="50" s="1"/>
  <c r="A54" i="50" s="1"/>
  <c r="A55" i="50" s="1"/>
  <c r="A56" i="50" s="1"/>
  <c r="A57" i="50" s="1"/>
  <c r="A58" i="50" s="1"/>
  <c r="A59" i="50" s="1"/>
  <c r="A60" i="50" s="1"/>
  <c r="A61" i="50" s="1"/>
  <c r="A62" i="50" s="1"/>
  <c r="A63" i="50" s="1"/>
  <c r="A64" i="50" s="1"/>
  <c r="A65" i="50" s="1"/>
  <c r="A66" i="50" s="1"/>
  <c r="A67" i="50" s="1"/>
  <c r="A68" i="50" s="1"/>
  <c r="A69" i="50" s="1"/>
  <c r="A70" i="50" s="1"/>
  <c r="A71" i="50" s="1"/>
  <c r="A72" i="50" s="1"/>
  <c r="A73" i="50" s="1"/>
  <c r="A74" i="50" s="1"/>
  <c r="A75" i="50" s="1"/>
  <c r="A76" i="50" s="1"/>
  <c r="A77" i="50" s="1"/>
  <c r="A78" i="50" s="1"/>
  <c r="A79" i="50" s="1"/>
  <c r="A80" i="50" s="1"/>
  <c r="A81" i="50" s="1"/>
  <c r="A82" i="50" s="1"/>
  <c r="A83" i="50" s="1"/>
  <c r="A84" i="50" s="1"/>
  <c r="A85" i="50" s="1"/>
  <c r="A86" i="50" s="1"/>
  <c r="A87" i="50" s="1"/>
  <c r="A88" i="50" s="1"/>
  <c r="A89" i="50" s="1"/>
  <c r="A90" i="50" s="1"/>
  <c r="A91" i="50" s="1"/>
  <c r="A7" i="50"/>
  <c r="F1" i="50"/>
  <c r="E1" i="50"/>
  <c r="D1" i="50"/>
  <c r="C1" i="50"/>
  <c r="B1" i="50"/>
  <c r="A8" i="49"/>
  <c r="A9" i="49" s="1"/>
  <c r="A10" i="49" s="1"/>
  <c r="A11" i="49" s="1"/>
  <c r="A12" i="49" s="1"/>
  <c r="A13" i="49" s="1"/>
  <c r="A14" i="49" s="1"/>
  <c r="A15" i="49" s="1"/>
  <c r="A16" i="49" s="1"/>
  <c r="A17" i="49" s="1"/>
  <c r="A18" i="49" s="1"/>
  <c r="A19" i="49" s="1"/>
  <c r="A20" i="49" s="1"/>
  <c r="A21" i="49" s="1"/>
  <c r="A22" i="49" s="1"/>
  <c r="A23" i="49" s="1"/>
  <c r="A24" i="49" s="1"/>
  <c r="A25" i="49" s="1"/>
  <c r="A26" i="49" s="1"/>
  <c r="A27" i="49" s="1"/>
  <c r="A28" i="49" s="1"/>
  <c r="A29" i="49" s="1"/>
  <c r="A30" i="49" s="1"/>
  <c r="A31" i="49" s="1"/>
  <c r="A32" i="49" s="1"/>
  <c r="A33" i="49" s="1"/>
  <c r="A34" i="49" s="1"/>
  <c r="A35" i="49" s="1"/>
  <c r="A36" i="49" s="1"/>
  <c r="A37" i="49" s="1"/>
  <c r="A38" i="49" s="1"/>
  <c r="A39" i="49" s="1"/>
  <c r="A40" i="49" s="1"/>
  <c r="A41" i="49" s="1"/>
  <c r="A42" i="49" s="1"/>
  <c r="A43" i="49" s="1"/>
  <c r="A44" i="49" s="1"/>
  <c r="A45" i="49" s="1"/>
  <c r="A46" i="49" s="1"/>
  <c r="A47" i="49" s="1"/>
  <c r="A48" i="49" s="1"/>
  <c r="A49" i="49" s="1"/>
  <c r="A50" i="49" s="1"/>
  <c r="A51" i="49" s="1"/>
  <c r="A52" i="49" s="1"/>
  <c r="A53" i="49" s="1"/>
  <c r="A54" i="49" s="1"/>
  <c r="A55" i="49" s="1"/>
  <c r="A56" i="49" s="1"/>
  <c r="A57" i="49" s="1"/>
  <c r="A58" i="49" s="1"/>
  <c r="A59" i="49" s="1"/>
  <c r="A60" i="49" s="1"/>
  <c r="A61" i="49" s="1"/>
  <c r="A62" i="49" s="1"/>
  <c r="A63" i="49" s="1"/>
  <c r="A64" i="49" s="1"/>
  <c r="A65" i="49" s="1"/>
  <c r="A66" i="49" s="1"/>
  <c r="A67" i="49" s="1"/>
  <c r="A68" i="49" s="1"/>
  <c r="A69" i="49" s="1"/>
  <c r="A70" i="49" s="1"/>
  <c r="A71" i="49" s="1"/>
  <c r="A72" i="49" s="1"/>
  <c r="A73" i="49" s="1"/>
  <c r="A74" i="49" s="1"/>
  <c r="A75" i="49" s="1"/>
  <c r="A76" i="49" s="1"/>
  <c r="A77" i="49" s="1"/>
  <c r="A78" i="49" s="1"/>
  <c r="A79" i="49" s="1"/>
  <c r="A80" i="49" s="1"/>
  <c r="A81" i="49" s="1"/>
  <c r="A82" i="49" s="1"/>
  <c r="A83" i="49" s="1"/>
  <c r="A84" i="49" s="1"/>
  <c r="A85" i="49" s="1"/>
  <c r="A86" i="49" s="1"/>
  <c r="A87" i="49" s="1"/>
  <c r="A88" i="49" s="1"/>
  <c r="A89" i="49" s="1"/>
  <c r="A90" i="49" s="1"/>
  <c r="A91" i="49" s="1"/>
  <c r="A7" i="49"/>
  <c r="F1" i="49"/>
  <c r="E1" i="49"/>
  <c r="D1" i="49"/>
  <c r="C1" i="49"/>
  <c r="B1" i="49"/>
  <c r="A8" i="48"/>
  <c r="A9" i="48" s="1"/>
  <c r="A10" i="48" s="1"/>
  <c r="A11" i="48" s="1"/>
  <c r="A12" i="48" s="1"/>
  <c r="A13" i="48" s="1"/>
  <c r="A14" i="48" s="1"/>
  <c r="A15" i="48" s="1"/>
  <c r="A16" i="48" s="1"/>
  <c r="A17" i="48" s="1"/>
  <c r="A18" i="48" s="1"/>
  <c r="A19" i="48" s="1"/>
  <c r="A20" i="48" s="1"/>
  <c r="A21" i="48" s="1"/>
  <c r="A22" i="48" s="1"/>
  <c r="A23" i="48" s="1"/>
  <c r="A24" i="48" s="1"/>
  <c r="A25" i="48" s="1"/>
  <c r="A26" i="48" s="1"/>
  <c r="A27" i="48" s="1"/>
  <c r="A28" i="48" s="1"/>
  <c r="A29" i="48" s="1"/>
  <c r="A30" i="48" s="1"/>
  <c r="A31" i="48" s="1"/>
  <c r="A32" i="48" s="1"/>
  <c r="A33" i="48" s="1"/>
  <c r="A34" i="48" s="1"/>
  <c r="A35" i="48" s="1"/>
  <c r="A36" i="48" s="1"/>
  <c r="A37" i="48" s="1"/>
  <c r="A38" i="48" s="1"/>
  <c r="A39" i="48" s="1"/>
  <c r="A40" i="48" s="1"/>
  <c r="A41" i="48" s="1"/>
  <c r="A42" i="48" s="1"/>
  <c r="A43" i="48" s="1"/>
  <c r="A44" i="48" s="1"/>
  <c r="A45" i="48" s="1"/>
  <c r="A46" i="48" s="1"/>
  <c r="A47" i="48" s="1"/>
  <c r="A48" i="48" s="1"/>
  <c r="A49" i="48" s="1"/>
  <c r="A50" i="48" s="1"/>
  <c r="A51" i="48" s="1"/>
  <c r="A52" i="48" s="1"/>
  <c r="A53" i="48" s="1"/>
  <c r="A54" i="48" s="1"/>
  <c r="A55" i="48" s="1"/>
  <c r="A56" i="48" s="1"/>
  <c r="A57" i="48" s="1"/>
  <c r="A58" i="48" s="1"/>
  <c r="A59" i="48" s="1"/>
  <c r="A60" i="48" s="1"/>
  <c r="A61" i="48" s="1"/>
  <c r="A62" i="48" s="1"/>
  <c r="A63" i="48" s="1"/>
  <c r="A64" i="48" s="1"/>
  <c r="A65" i="48" s="1"/>
  <c r="A66" i="48" s="1"/>
  <c r="A67" i="48" s="1"/>
  <c r="A68" i="48" s="1"/>
  <c r="A69" i="48" s="1"/>
  <c r="A70" i="48" s="1"/>
  <c r="A71" i="48" s="1"/>
  <c r="A72" i="48" s="1"/>
  <c r="A73" i="48" s="1"/>
  <c r="A74" i="48" s="1"/>
  <c r="A75" i="48" s="1"/>
  <c r="A76" i="48" s="1"/>
  <c r="A77" i="48" s="1"/>
  <c r="A78" i="48" s="1"/>
  <c r="A79" i="48" s="1"/>
  <c r="A80" i="48" s="1"/>
  <c r="A81" i="48" s="1"/>
  <c r="A82" i="48" s="1"/>
  <c r="A83" i="48" s="1"/>
  <c r="A84" i="48" s="1"/>
  <c r="A85" i="48" s="1"/>
  <c r="A86" i="48" s="1"/>
  <c r="A87" i="48" s="1"/>
  <c r="A88" i="48" s="1"/>
  <c r="A89" i="48" s="1"/>
  <c r="A90" i="48" s="1"/>
  <c r="A91" i="48" s="1"/>
  <c r="A7" i="48"/>
  <c r="F1" i="48"/>
  <c r="E1" i="48"/>
  <c r="D1" i="48"/>
  <c r="C1" i="48"/>
  <c r="B1" i="48"/>
  <c r="A8" i="47"/>
  <c r="A9" i="47" s="1"/>
  <c r="A10" i="47" s="1"/>
  <c r="A11" i="47" s="1"/>
  <c r="A12" i="47" s="1"/>
  <c r="A13" i="47" s="1"/>
  <c r="A14" i="47" s="1"/>
  <c r="A15" i="47" s="1"/>
  <c r="A16" i="47" s="1"/>
  <c r="A17" i="47" s="1"/>
  <c r="A18" i="47" s="1"/>
  <c r="A19" i="47" s="1"/>
  <c r="A20" i="47" s="1"/>
  <c r="A21" i="47" s="1"/>
  <c r="A22" i="47" s="1"/>
  <c r="A23" i="47" s="1"/>
  <c r="A24" i="47" s="1"/>
  <c r="A25" i="47" s="1"/>
  <c r="A26" i="47" s="1"/>
  <c r="A27" i="47" s="1"/>
  <c r="A28" i="47" s="1"/>
  <c r="A29" i="47" s="1"/>
  <c r="A30" i="47" s="1"/>
  <c r="A31" i="47" s="1"/>
  <c r="A32" i="47" s="1"/>
  <c r="A33" i="47" s="1"/>
  <c r="A34" i="47" s="1"/>
  <c r="A35" i="47" s="1"/>
  <c r="A36" i="47" s="1"/>
  <c r="A37" i="47" s="1"/>
  <c r="A38" i="47" s="1"/>
  <c r="A39" i="47" s="1"/>
  <c r="A40" i="47" s="1"/>
  <c r="A41" i="47" s="1"/>
  <c r="A42" i="47" s="1"/>
  <c r="A43" i="47" s="1"/>
  <c r="A44" i="47" s="1"/>
  <c r="A45" i="47" s="1"/>
  <c r="A46" i="47" s="1"/>
  <c r="A47" i="47" s="1"/>
  <c r="A48" i="47" s="1"/>
  <c r="A49" i="47" s="1"/>
  <c r="A50" i="47" s="1"/>
  <c r="A51" i="47" s="1"/>
  <c r="A52" i="47" s="1"/>
  <c r="A53" i="47" s="1"/>
  <c r="A54" i="47" s="1"/>
  <c r="A55" i="47" s="1"/>
  <c r="A56" i="47" s="1"/>
  <c r="A57" i="47" s="1"/>
  <c r="A58" i="47" s="1"/>
  <c r="A59" i="47" s="1"/>
  <c r="A60" i="47" s="1"/>
  <c r="A61" i="47" s="1"/>
  <c r="A62" i="47" s="1"/>
  <c r="A63" i="47" s="1"/>
  <c r="A64" i="47" s="1"/>
  <c r="A65" i="47" s="1"/>
  <c r="A66" i="47" s="1"/>
  <c r="A67" i="47" s="1"/>
  <c r="A68" i="47" s="1"/>
  <c r="A69" i="47" s="1"/>
  <c r="A70" i="47" s="1"/>
  <c r="A71" i="47" s="1"/>
  <c r="A72" i="47" s="1"/>
  <c r="A73" i="47" s="1"/>
  <c r="A74" i="47" s="1"/>
  <c r="A75" i="47" s="1"/>
  <c r="A76" i="47" s="1"/>
  <c r="A77" i="47" s="1"/>
  <c r="A78" i="47" s="1"/>
  <c r="A79" i="47" s="1"/>
  <c r="A80" i="47" s="1"/>
  <c r="A81" i="47" s="1"/>
  <c r="A82" i="47" s="1"/>
  <c r="A83" i="47" s="1"/>
  <c r="A84" i="47" s="1"/>
  <c r="A85" i="47" s="1"/>
  <c r="A86" i="47" s="1"/>
  <c r="A87" i="47" s="1"/>
  <c r="A88" i="47" s="1"/>
  <c r="A89" i="47" s="1"/>
  <c r="A90" i="47" s="1"/>
  <c r="A91" i="47" s="1"/>
  <c r="A7" i="47"/>
  <c r="F1" i="47"/>
  <c r="E1" i="47"/>
  <c r="D1" i="47"/>
  <c r="C1" i="47"/>
  <c r="B1" i="47"/>
  <c r="A8" i="46"/>
  <c r="A9" i="46" s="1"/>
  <c r="A10" i="46" s="1"/>
  <c r="A11" i="46" s="1"/>
  <c r="A12" i="46" s="1"/>
  <c r="A13" i="46" s="1"/>
  <c r="A14" i="46" s="1"/>
  <c r="A15" i="46" s="1"/>
  <c r="A16" i="46" s="1"/>
  <c r="A17" i="46" s="1"/>
  <c r="A18" i="46" s="1"/>
  <c r="A19" i="46" s="1"/>
  <c r="A20" i="46" s="1"/>
  <c r="A21" i="46" s="1"/>
  <c r="A22" i="46" s="1"/>
  <c r="A23" i="46" s="1"/>
  <c r="A24" i="46" s="1"/>
  <c r="A25" i="46" s="1"/>
  <c r="A26" i="46" s="1"/>
  <c r="A27" i="46" s="1"/>
  <c r="A28" i="46" s="1"/>
  <c r="A29" i="46" s="1"/>
  <c r="A30" i="46" s="1"/>
  <c r="A31" i="46" s="1"/>
  <c r="A32" i="46" s="1"/>
  <c r="A33" i="46" s="1"/>
  <c r="A34" i="46" s="1"/>
  <c r="A35" i="46" s="1"/>
  <c r="A36" i="46" s="1"/>
  <c r="A37" i="46" s="1"/>
  <c r="A38" i="46" s="1"/>
  <c r="A39" i="46" s="1"/>
  <c r="A40" i="46" s="1"/>
  <c r="A41" i="46" s="1"/>
  <c r="A42" i="46" s="1"/>
  <c r="A43" i="46" s="1"/>
  <c r="A44" i="46" s="1"/>
  <c r="A45" i="46" s="1"/>
  <c r="A46" i="46" s="1"/>
  <c r="A47" i="46" s="1"/>
  <c r="A48" i="46" s="1"/>
  <c r="A49" i="46" s="1"/>
  <c r="A50" i="46" s="1"/>
  <c r="A51" i="46" s="1"/>
  <c r="A52" i="46" s="1"/>
  <c r="A53" i="46" s="1"/>
  <c r="A54" i="46" s="1"/>
  <c r="A55" i="46" s="1"/>
  <c r="A56" i="46" s="1"/>
  <c r="A57" i="46" s="1"/>
  <c r="A58" i="46" s="1"/>
  <c r="A59" i="46" s="1"/>
  <c r="A60" i="46" s="1"/>
  <c r="A61" i="46" s="1"/>
  <c r="A62" i="46" s="1"/>
  <c r="A63" i="46" s="1"/>
  <c r="A64" i="46" s="1"/>
  <c r="A65" i="46" s="1"/>
  <c r="A66" i="46" s="1"/>
  <c r="A67" i="46" s="1"/>
  <c r="A68" i="46" s="1"/>
  <c r="A69" i="46" s="1"/>
  <c r="A70" i="46" s="1"/>
  <c r="A71" i="46" s="1"/>
  <c r="A72" i="46" s="1"/>
  <c r="A73" i="46" s="1"/>
  <c r="A74" i="46" s="1"/>
  <c r="A75" i="46" s="1"/>
  <c r="A76" i="46" s="1"/>
  <c r="A77" i="46" s="1"/>
  <c r="A78" i="46" s="1"/>
  <c r="A79" i="46" s="1"/>
  <c r="A80" i="46" s="1"/>
  <c r="A81" i="46" s="1"/>
  <c r="A82" i="46" s="1"/>
  <c r="A83" i="46" s="1"/>
  <c r="A84" i="46" s="1"/>
  <c r="A85" i="46" s="1"/>
  <c r="A86" i="46" s="1"/>
  <c r="A87" i="46" s="1"/>
  <c r="A88" i="46" s="1"/>
  <c r="A89" i="46" s="1"/>
  <c r="A90" i="46" s="1"/>
  <c r="A91" i="46" s="1"/>
  <c r="A7" i="46"/>
  <c r="F1" i="46"/>
  <c r="E1" i="46"/>
  <c r="D1" i="46"/>
  <c r="C1" i="46"/>
  <c r="B1" i="46"/>
  <c r="A8" i="45"/>
  <c r="A9" i="45" s="1"/>
  <c r="A10" i="45" s="1"/>
  <c r="A11" i="45" s="1"/>
  <c r="A12" i="45" s="1"/>
  <c r="A13" i="45" s="1"/>
  <c r="A14" i="45" s="1"/>
  <c r="A15" i="45" s="1"/>
  <c r="A16" i="45" s="1"/>
  <c r="A17" i="45" s="1"/>
  <c r="A18" i="45" s="1"/>
  <c r="A19" i="45" s="1"/>
  <c r="A20" i="45" s="1"/>
  <c r="A21" i="45" s="1"/>
  <c r="A22" i="45" s="1"/>
  <c r="A23" i="45" s="1"/>
  <c r="A24" i="45" s="1"/>
  <c r="A25" i="45" s="1"/>
  <c r="A26" i="45" s="1"/>
  <c r="A27" i="45" s="1"/>
  <c r="A28" i="45" s="1"/>
  <c r="A29" i="45" s="1"/>
  <c r="A30" i="45" s="1"/>
  <c r="A31" i="45" s="1"/>
  <c r="A32" i="45" s="1"/>
  <c r="A33" i="45" s="1"/>
  <c r="A34" i="45" s="1"/>
  <c r="A35" i="45" s="1"/>
  <c r="A36" i="45" s="1"/>
  <c r="A37" i="45" s="1"/>
  <c r="A38" i="45" s="1"/>
  <c r="A39" i="45" s="1"/>
  <c r="A40" i="45" s="1"/>
  <c r="A41" i="45" s="1"/>
  <c r="A42" i="45" s="1"/>
  <c r="A43" i="45" s="1"/>
  <c r="A44" i="45" s="1"/>
  <c r="A45" i="45" s="1"/>
  <c r="A46" i="45" s="1"/>
  <c r="A47" i="45" s="1"/>
  <c r="A48" i="45" s="1"/>
  <c r="A49" i="45" s="1"/>
  <c r="A50" i="45" s="1"/>
  <c r="A51" i="45" s="1"/>
  <c r="A52" i="45" s="1"/>
  <c r="A53" i="45" s="1"/>
  <c r="A54" i="45" s="1"/>
  <c r="A55" i="45" s="1"/>
  <c r="A56" i="45" s="1"/>
  <c r="A57" i="45" s="1"/>
  <c r="A58" i="45" s="1"/>
  <c r="A59" i="45" s="1"/>
  <c r="A60" i="45" s="1"/>
  <c r="A61" i="45" s="1"/>
  <c r="A62" i="45" s="1"/>
  <c r="A63" i="45" s="1"/>
  <c r="A64" i="45" s="1"/>
  <c r="A65" i="45" s="1"/>
  <c r="A66" i="45" s="1"/>
  <c r="A67" i="45" s="1"/>
  <c r="A68" i="45" s="1"/>
  <c r="A69" i="45" s="1"/>
  <c r="A70" i="45" s="1"/>
  <c r="A71" i="45" s="1"/>
  <c r="A72" i="45" s="1"/>
  <c r="A73" i="45" s="1"/>
  <c r="A74" i="45" s="1"/>
  <c r="A75" i="45" s="1"/>
  <c r="A76" i="45" s="1"/>
  <c r="A77" i="45" s="1"/>
  <c r="A78" i="45" s="1"/>
  <c r="A79" i="45" s="1"/>
  <c r="A80" i="45" s="1"/>
  <c r="A81" i="45" s="1"/>
  <c r="A82" i="45" s="1"/>
  <c r="A83" i="45" s="1"/>
  <c r="A84" i="45" s="1"/>
  <c r="A85" i="45" s="1"/>
  <c r="A86" i="45" s="1"/>
  <c r="A87" i="45" s="1"/>
  <c r="A88" i="45" s="1"/>
  <c r="A89" i="45" s="1"/>
  <c r="A90" i="45" s="1"/>
  <c r="A91" i="45" s="1"/>
  <c r="A7" i="45"/>
  <c r="F1" i="45"/>
  <c r="E1" i="45"/>
  <c r="D1" i="45"/>
  <c r="C1" i="45"/>
  <c r="B1" i="45"/>
  <c r="A8" i="44"/>
  <c r="A9" i="44" s="1"/>
  <c r="A10" i="44" s="1"/>
  <c r="A11" i="44" s="1"/>
  <c r="A12" i="44" s="1"/>
  <c r="A13" i="44" s="1"/>
  <c r="A14" i="44" s="1"/>
  <c r="A15" i="44" s="1"/>
  <c r="A16" i="44" s="1"/>
  <c r="A17" i="44" s="1"/>
  <c r="A18" i="44" s="1"/>
  <c r="A19" i="44" s="1"/>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7" i="44"/>
  <c r="F1" i="44"/>
  <c r="E1" i="44"/>
  <c r="D1" i="44"/>
  <c r="C1" i="44"/>
  <c r="B1" i="44"/>
  <c r="A8" i="43"/>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 r="A62" i="43" s="1"/>
  <c r="A63" i="43" s="1"/>
  <c r="A64" i="43" s="1"/>
  <c r="A65" i="43" s="1"/>
  <c r="A66" i="43" s="1"/>
  <c r="A67" i="43" s="1"/>
  <c r="A68" i="43" s="1"/>
  <c r="A69" i="43" s="1"/>
  <c r="A70" i="43" s="1"/>
  <c r="A71" i="43" s="1"/>
  <c r="A72" i="43" s="1"/>
  <c r="A73" i="43" s="1"/>
  <c r="A74" i="43" s="1"/>
  <c r="A75" i="43" s="1"/>
  <c r="A76" i="43" s="1"/>
  <c r="A77" i="43" s="1"/>
  <c r="A78" i="43" s="1"/>
  <c r="A79" i="43" s="1"/>
  <c r="A80" i="43" s="1"/>
  <c r="A81" i="43" s="1"/>
  <c r="A82" i="43" s="1"/>
  <c r="A83" i="43" s="1"/>
  <c r="A84" i="43" s="1"/>
  <c r="A85" i="43" s="1"/>
  <c r="A86" i="43" s="1"/>
  <c r="A87" i="43" s="1"/>
  <c r="A88" i="43" s="1"/>
  <c r="A89" i="43" s="1"/>
  <c r="A90" i="43" s="1"/>
  <c r="A91" i="43" s="1"/>
  <c r="A7" i="43"/>
  <c r="F1" i="43"/>
  <c r="E1" i="43"/>
  <c r="D1" i="43"/>
  <c r="C1" i="43"/>
  <c r="B1" i="43"/>
  <c r="A8" i="42"/>
  <c r="A9" i="42" s="1"/>
  <c r="A10" i="42" s="1"/>
  <c r="A11" i="42" s="1"/>
  <c r="A12" i="42" s="1"/>
  <c r="A13" i="42" s="1"/>
  <c r="A14" i="42" s="1"/>
  <c r="A15" i="42" s="1"/>
  <c r="A16" i="42" s="1"/>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A47" i="42" s="1"/>
  <c r="A48" i="42" s="1"/>
  <c r="A49" i="42" s="1"/>
  <c r="A50" i="42" s="1"/>
  <c r="A51" i="42" s="1"/>
  <c r="A52" i="42" s="1"/>
  <c r="A53" i="42" s="1"/>
  <c r="A54" i="42" s="1"/>
  <c r="A55" i="42" s="1"/>
  <c r="A56" i="42" s="1"/>
  <c r="A57" i="42" s="1"/>
  <c r="A58" i="42" s="1"/>
  <c r="A59" i="42" s="1"/>
  <c r="A60" i="42" s="1"/>
  <c r="A61" i="42" s="1"/>
  <c r="A62" i="42" s="1"/>
  <c r="A63" i="42" s="1"/>
  <c r="A64" i="42" s="1"/>
  <c r="A65" i="42" s="1"/>
  <c r="A66" i="42" s="1"/>
  <c r="A67" i="42" s="1"/>
  <c r="A68" i="42" s="1"/>
  <c r="A69" i="42" s="1"/>
  <c r="A70" i="42" s="1"/>
  <c r="A71" i="42" s="1"/>
  <c r="A72" i="42" s="1"/>
  <c r="A73" i="42" s="1"/>
  <c r="A74" i="42" s="1"/>
  <c r="A75" i="42" s="1"/>
  <c r="A76" i="42" s="1"/>
  <c r="A77" i="42" s="1"/>
  <c r="A78" i="42" s="1"/>
  <c r="A79" i="42" s="1"/>
  <c r="A80" i="42" s="1"/>
  <c r="A81" i="42" s="1"/>
  <c r="A82" i="42" s="1"/>
  <c r="A83" i="42" s="1"/>
  <c r="A84" i="42" s="1"/>
  <c r="A85" i="42" s="1"/>
  <c r="A86" i="42" s="1"/>
  <c r="A87" i="42" s="1"/>
  <c r="A88" i="42" s="1"/>
  <c r="A89" i="42" s="1"/>
  <c r="A90" i="42" s="1"/>
  <c r="A91" i="42" s="1"/>
  <c r="A7" i="42"/>
  <c r="F1" i="42"/>
  <c r="E1" i="42"/>
  <c r="D1" i="42"/>
  <c r="C1" i="42"/>
  <c r="B1" i="42"/>
  <c r="A8" i="41"/>
  <c r="A9" i="41" s="1"/>
  <c r="A10" i="41" s="1"/>
  <c r="A11" i="41" s="1"/>
  <c r="A12" i="41" s="1"/>
  <c r="A13" i="41" s="1"/>
  <c r="A14" i="41" s="1"/>
  <c r="A15" i="41" s="1"/>
  <c r="A16" i="41" s="1"/>
  <c r="A17" i="41" s="1"/>
  <c r="A18" i="41" s="1"/>
  <c r="A19" i="41" s="1"/>
  <c r="A20" i="41" s="1"/>
  <c r="A21" i="41" s="1"/>
  <c r="A22" i="41" s="1"/>
  <c r="A23" i="41" s="1"/>
  <c r="A24" i="41" s="1"/>
  <c r="A25" i="41" s="1"/>
  <c r="A26" i="41" s="1"/>
  <c r="A27" i="41" s="1"/>
  <c r="A28" i="41" s="1"/>
  <c r="A29" i="41" s="1"/>
  <c r="A30" i="41" s="1"/>
  <c r="A31" i="41" s="1"/>
  <c r="A32" i="41" s="1"/>
  <c r="A33" i="41" s="1"/>
  <c r="A34" i="41" s="1"/>
  <c r="A35" i="41" s="1"/>
  <c r="A36" i="41" s="1"/>
  <c r="A37" i="41" s="1"/>
  <c r="A38" i="41" s="1"/>
  <c r="A39" i="41" s="1"/>
  <c r="A40" i="41" s="1"/>
  <c r="A41" i="41" s="1"/>
  <c r="A42" i="41" s="1"/>
  <c r="A43" i="41" s="1"/>
  <c r="A44" i="41" s="1"/>
  <c r="A45" i="41" s="1"/>
  <c r="A46" i="41" s="1"/>
  <c r="A47" i="41" s="1"/>
  <c r="A48" i="41" s="1"/>
  <c r="A49" i="41" s="1"/>
  <c r="A50" i="41" s="1"/>
  <c r="A51" i="41" s="1"/>
  <c r="A52" i="41" s="1"/>
  <c r="A53" i="41" s="1"/>
  <c r="A54" i="41" s="1"/>
  <c r="A55" i="41" s="1"/>
  <c r="A56" i="41" s="1"/>
  <c r="A57" i="41" s="1"/>
  <c r="A58" i="41" s="1"/>
  <c r="A59" i="41" s="1"/>
  <c r="A60" i="41" s="1"/>
  <c r="A61" i="41" s="1"/>
  <c r="A62" i="41" s="1"/>
  <c r="A63" i="41" s="1"/>
  <c r="A64" i="41" s="1"/>
  <c r="A65" i="41" s="1"/>
  <c r="A66" i="41" s="1"/>
  <c r="A67" i="41" s="1"/>
  <c r="A68" i="41" s="1"/>
  <c r="A69" i="41" s="1"/>
  <c r="A70" i="41" s="1"/>
  <c r="A71" i="41" s="1"/>
  <c r="A72" i="41" s="1"/>
  <c r="A73" i="41" s="1"/>
  <c r="A74" i="41" s="1"/>
  <c r="A75" i="41" s="1"/>
  <c r="A76" i="41" s="1"/>
  <c r="A77" i="41" s="1"/>
  <c r="A78" i="41" s="1"/>
  <c r="A79" i="41" s="1"/>
  <c r="A80" i="41" s="1"/>
  <c r="A81" i="41" s="1"/>
  <c r="A82" i="41" s="1"/>
  <c r="A83" i="41" s="1"/>
  <c r="A84" i="41" s="1"/>
  <c r="A85" i="41" s="1"/>
  <c r="A86" i="41" s="1"/>
  <c r="A87" i="41" s="1"/>
  <c r="A88" i="41" s="1"/>
  <c r="A89" i="41" s="1"/>
  <c r="A90" i="41" s="1"/>
  <c r="A91" i="41" s="1"/>
  <c r="A7" i="41"/>
  <c r="F1" i="41"/>
  <c r="E1" i="41"/>
  <c r="D1" i="41"/>
  <c r="C1" i="41"/>
  <c r="B1" i="41"/>
  <c r="A8" i="40"/>
  <c r="A9" i="40" s="1"/>
  <c r="A10" i="40" s="1"/>
  <c r="A11" i="40" s="1"/>
  <c r="A12" i="40" s="1"/>
  <c r="A13" i="40" s="1"/>
  <c r="A14" i="40" s="1"/>
  <c r="A15" i="40" s="1"/>
  <c r="A16" i="40" s="1"/>
  <c r="A17" i="40" s="1"/>
  <c r="A18" i="40" s="1"/>
  <c r="A19" i="40" s="1"/>
  <c r="A20" i="40" s="1"/>
  <c r="A21" i="40" s="1"/>
  <c r="A22" i="40" s="1"/>
  <c r="A23" i="40" s="1"/>
  <c r="A24" i="40" s="1"/>
  <c r="A25" i="40" s="1"/>
  <c r="A26" i="40" s="1"/>
  <c r="A27" i="40" s="1"/>
  <c r="A28" i="40" s="1"/>
  <c r="A29" i="40" s="1"/>
  <c r="A30" i="40" s="1"/>
  <c r="A31" i="40" s="1"/>
  <c r="A32" i="40" s="1"/>
  <c r="A33" i="40" s="1"/>
  <c r="A34" i="40" s="1"/>
  <c r="A35" i="40" s="1"/>
  <c r="A36" i="40" s="1"/>
  <c r="A37" i="40" s="1"/>
  <c r="A38" i="40" s="1"/>
  <c r="A39" i="40" s="1"/>
  <c r="A40" i="40" s="1"/>
  <c r="A41" i="40" s="1"/>
  <c r="A42" i="40" s="1"/>
  <c r="A43" i="40" s="1"/>
  <c r="A44" i="40" s="1"/>
  <c r="A45" i="40" s="1"/>
  <c r="A46" i="40" s="1"/>
  <c r="A47" i="40" s="1"/>
  <c r="A48" i="40" s="1"/>
  <c r="A49" i="40" s="1"/>
  <c r="A50" i="40" s="1"/>
  <c r="A51" i="40" s="1"/>
  <c r="A52" i="40" s="1"/>
  <c r="A53" i="40" s="1"/>
  <c r="A54" i="40" s="1"/>
  <c r="A55" i="40" s="1"/>
  <c r="A56" i="40" s="1"/>
  <c r="A57" i="40" s="1"/>
  <c r="A58" i="40" s="1"/>
  <c r="A59" i="40" s="1"/>
  <c r="A60" i="40" s="1"/>
  <c r="A61" i="40" s="1"/>
  <c r="A62" i="40" s="1"/>
  <c r="A63" i="40" s="1"/>
  <c r="A64" i="40" s="1"/>
  <c r="A65" i="40" s="1"/>
  <c r="A66" i="40" s="1"/>
  <c r="A67" i="40" s="1"/>
  <c r="A68" i="40" s="1"/>
  <c r="A69" i="40" s="1"/>
  <c r="A70" i="40" s="1"/>
  <c r="A71" i="40" s="1"/>
  <c r="A72" i="40" s="1"/>
  <c r="A73" i="40" s="1"/>
  <c r="A74" i="40" s="1"/>
  <c r="A75" i="40" s="1"/>
  <c r="A76" i="40" s="1"/>
  <c r="A77" i="40" s="1"/>
  <c r="A78" i="40" s="1"/>
  <c r="A79" i="40" s="1"/>
  <c r="A80" i="40" s="1"/>
  <c r="A81" i="40" s="1"/>
  <c r="A82" i="40" s="1"/>
  <c r="A83" i="40" s="1"/>
  <c r="A84" i="40" s="1"/>
  <c r="A85" i="40" s="1"/>
  <c r="A86" i="40" s="1"/>
  <c r="A87" i="40" s="1"/>
  <c r="A88" i="40" s="1"/>
  <c r="A89" i="40" s="1"/>
  <c r="A90" i="40" s="1"/>
  <c r="A91" i="40" s="1"/>
  <c r="A7" i="40"/>
  <c r="F1" i="40"/>
  <c r="E1" i="40"/>
  <c r="D1" i="40"/>
  <c r="C1" i="40"/>
  <c r="B1" i="40"/>
  <c r="A8" i="39"/>
  <c r="A9" i="39" s="1"/>
  <c r="A10" i="39" s="1"/>
  <c r="A11" i="39" s="1"/>
  <c r="A12" i="39" s="1"/>
  <c r="A13" i="39" s="1"/>
  <c r="A14" i="39" s="1"/>
  <c r="A15" i="39" s="1"/>
  <c r="A16" i="39" s="1"/>
  <c r="A17" i="39" s="1"/>
  <c r="A18" i="39" s="1"/>
  <c r="A19" i="39" s="1"/>
  <c r="A20" i="39" s="1"/>
  <c r="A21" i="39" s="1"/>
  <c r="A22" i="39" s="1"/>
  <c r="A23" i="39" s="1"/>
  <c r="A24" i="39" s="1"/>
  <c r="A25" i="39" s="1"/>
  <c r="A26" i="39" s="1"/>
  <c r="A27" i="39" s="1"/>
  <c r="A28" i="39" s="1"/>
  <c r="A29" i="39" s="1"/>
  <c r="A30" i="39" s="1"/>
  <c r="A31" i="39" s="1"/>
  <c r="A32" i="39" s="1"/>
  <c r="A33" i="39" s="1"/>
  <c r="A34" i="39" s="1"/>
  <c r="A35" i="39" s="1"/>
  <c r="A36" i="39" s="1"/>
  <c r="A37" i="39" s="1"/>
  <c r="A38" i="39" s="1"/>
  <c r="A39" i="39" s="1"/>
  <c r="A40" i="39" s="1"/>
  <c r="A41" i="39" s="1"/>
  <c r="A42" i="39" s="1"/>
  <c r="A43" i="39" s="1"/>
  <c r="A44" i="39" s="1"/>
  <c r="A45" i="39" s="1"/>
  <c r="A46" i="39" s="1"/>
  <c r="A47" i="39" s="1"/>
  <c r="A48" i="39" s="1"/>
  <c r="A49" i="39" s="1"/>
  <c r="A50" i="39" s="1"/>
  <c r="A51" i="39" s="1"/>
  <c r="A52" i="39" s="1"/>
  <c r="A53" i="39" s="1"/>
  <c r="A54" i="39" s="1"/>
  <c r="A55" i="39" s="1"/>
  <c r="A56" i="39" s="1"/>
  <c r="A57" i="39" s="1"/>
  <c r="A58" i="39" s="1"/>
  <c r="A59" i="39" s="1"/>
  <c r="A60" i="39" s="1"/>
  <c r="A61" i="39" s="1"/>
  <c r="A62" i="39" s="1"/>
  <c r="A63" i="39" s="1"/>
  <c r="A64" i="39" s="1"/>
  <c r="A65" i="39" s="1"/>
  <c r="A66" i="39" s="1"/>
  <c r="A67" i="39" s="1"/>
  <c r="A68" i="39" s="1"/>
  <c r="A69" i="39" s="1"/>
  <c r="A70" i="39" s="1"/>
  <c r="A71" i="39" s="1"/>
  <c r="A72" i="39" s="1"/>
  <c r="A73" i="39" s="1"/>
  <c r="A74" i="39" s="1"/>
  <c r="A75" i="39" s="1"/>
  <c r="A76" i="39" s="1"/>
  <c r="A77" i="39" s="1"/>
  <c r="A78" i="39" s="1"/>
  <c r="A79" i="39" s="1"/>
  <c r="A80" i="39" s="1"/>
  <c r="A81" i="39" s="1"/>
  <c r="A82" i="39" s="1"/>
  <c r="A83" i="39" s="1"/>
  <c r="A84" i="39" s="1"/>
  <c r="A85" i="39" s="1"/>
  <c r="A86" i="39" s="1"/>
  <c r="A87" i="39" s="1"/>
  <c r="A88" i="39" s="1"/>
  <c r="A89" i="39" s="1"/>
  <c r="A90" i="39" s="1"/>
  <c r="A91" i="39" s="1"/>
  <c r="A7" i="39"/>
  <c r="F1" i="39"/>
  <c r="E1" i="39"/>
  <c r="D1" i="39"/>
  <c r="C1" i="39"/>
  <c r="B1" i="39"/>
  <c r="A8" i="38"/>
  <c r="A9" i="38" s="1"/>
  <c r="A10" i="38" s="1"/>
  <c r="A11" i="38" s="1"/>
  <c r="A12" i="38" s="1"/>
  <c r="A13" i="38" s="1"/>
  <c r="A14" i="38" s="1"/>
  <c r="A15" i="38" s="1"/>
  <c r="A16" i="38" s="1"/>
  <c r="A17" i="38" s="1"/>
  <c r="A18" i="38" s="1"/>
  <c r="A19" i="38" s="1"/>
  <c r="A20" i="38" s="1"/>
  <c r="A21" i="38" s="1"/>
  <c r="A22" i="38" s="1"/>
  <c r="A23" i="38" s="1"/>
  <c r="A24" i="38" s="1"/>
  <c r="A25" i="38" s="1"/>
  <c r="A26" i="38" s="1"/>
  <c r="A27" i="38" s="1"/>
  <c r="A28" i="38" s="1"/>
  <c r="A29" i="38" s="1"/>
  <c r="A30" i="38" s="1"/>
  <c r="A31" i="38" s="1"/>
  <c r="A32" i="38" s="1"/>
  <c r="A33" i="38" s="1"/>
  <c r="A34" i="38" s="1"/>
  <c r="A35" i="38" s="1"/>
  <c r="A36" i="38" s="1"/>
  <c r="A37" i="38" s="1"/>
  <c r="A38" i="38" s="1"/>
  <c r="A39" i="38" s="1"/>
  <c r="A40" i="38" s="1"/>
  <c r="A41" i="38" s="1"/>
  <c r="A42" i="38" s="1"/>
  <c r="A43" i="38" s="1"/>
  <c r="A44" i="38" s="1"/>
  <c r="A45" i="38" s="1"/>
  <c r="A46" i="38" s="1"/>
  <c r="A47" i="38" s="1"/>
  <c r="A48" i="38" s="1"/>
  <c r="A49" i="38" s="1"/>
  <c r="A50" i="38" s="1"/>
  <c r="A51" i="38" s="1"/>
  <c r="A52" i="38" s="1"/>
  <c r="A53" i="38" s="1"/>
  <c r="A54" i="38" s="1"/>
  <c r="A55" i="38" s="1"/>
  <c r="A56" i="38" s="1"/>
  <c r="A57" i="38" s="1"/>
  <c r="A58" i="38" s="1"/>
  <c r="A59" i="38" s="1"/>
  <c r="A60" i="38" s="1"/>
  <c r="A61" i="38" s="1"/>
  <c r="A62" i="38" s="1"/>
  <c r="A63" i="38" s="1"/>
  <c r="A64" i="38" s="1"/>
  <c r="A65" i="38" s="1"/>
  <c r="A66" i="38" s="1"/>
  <c r="A67" i="38" s="1"/>
  <c r="A68" i="38" s="1"/>
  <c r="A69" i="38" s="1"/>
  <c r="A70" i="38" s="1"/>
  <c r="A71" i="38" s="1"/>
  <c r="A72" i="38" s="1"/>
  <c r="A73" i="38" s="1"/>
  <c r="A74" i="38" s="1"/>
  <c r="A75" i="38" s="1"/>
  <c r="A76" i="38" s="1"/>
  <c r="A77" i="38" s="1"/>
  <c r="A78" i="38" s="1"/>
  <c r="A79" i="38" s="1"/>
  <c r="A80" i="38" s="1"/>
  <c r="A81" i="38" s="1"/>
  <c r="A82" i="38" s="1"/>
  <c r="A83" i="38" s="1"/>
  <c r="A84" i="38" s="1"/>
  <c r="A85" i="38" s="1"/>
  <c r="A86" i="38" s="1"/>
  <c r="A87" i="38" s="1"/>
  <c r="A88" i="38" s="1"/>
  <c r="A89" i="38" s="1"/>
  <c r="A90" i="38" s="1"/>
  <c r="A91" i="38" s="1"/>
  <c r="A7" i="38"/>
  <c r="F1" i="38"/>
  <c r="E1" i="38"/>
  <c r="D1" i="38"/>
  <c r="C1" i="38"/>
  <c r="B1" i="38"/>
  <c r="A8" i="37"/>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7" i="37"/>
  <c r="F1" i="37"/>
  <c r="E1" i="37"/>
  <c r="D1" i="37"/>
  <c r="C1" i="37"/>
  <c r="B1" i="37"/>
  <c r="A8" i="36"/>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7" i="36"/>
  <c r="F1" i="36"/>
  <c r="E1" i="36"/>
  <c r="D1" i="36"/>
  <c r="C1" i="36"/>
  <c r="B1" i="36"/>
  <c r="A8" i="35"/>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81" i="35" s="1"/>
  <c r="A82" i="35" s="1"/>
  <c r="A83" i="35" s="1"/>
  <c r="A84" i="35" s="1"/>
  <c r="A85" i="35" s="1"/>
  <c r="A86" i="35" s="1"/>
  <c r="A87" i="35" s="1"/>
  <c r="A88" i="35" s="1"/>
  <c r="A89" i="35" s="1"/>
  <c r="A90" i="35" s="1"/>
  <c r="A91" i="35" s="1"/>
  <c r="A7" i="35"/>
  <c r="F1" i="35"/>
  <c r="E1" i="35"/>
  <c r="D1" i="35"/>
  <c r="C1" i="35"/>
  <c r="B1" i="35"/>
  <c r="A8" i="34"/>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7" i="34"/>
  <c r="F1" i="34"/>
  <c r="E1" i="34"/>
  <c r="D1" i="34"/>
  <c r="C1" i="34"/>
  <c r="B1" i="34"/>
  <c r="A8" i="33"/>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7" i="33"/>
  <c r="F1" i="33"/>
  <c r="E1" i="33"/>
  <c r="D1" i="33"/>
  <c r="C1" i="33"/>
  <c r="B1" i="33"/>
  <c r="A8" i="32"/>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7" i="32"/>
  <c r="F1" i="32"/>
  <c r="E1" i="32"/>
  <c r="D1" i="32"/>
  <c r="C1" i="32"/>
  <c r="B1" i="32"/>
  <c r="A8" i="3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7" i="31"/>
  <c r="F1" i="31"/>
  <c r="E1" i="31"/>
  <c r="D1" i="31"/>
  <c r="C1" i="31"/>
  <c r="B1" i="31"/>
  <c r="A8" i="29"/>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7" i="29"/>
  <c r="F1" i="29"/>
  <c r="E1" i="29"/>
  <c r="D1" i="29"/>
  <c r="C1" i="29"/>
  <c r="B1" i="29"/>
  <c r="A8" i="28"/>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7" i="28"/>
  <c r="F1" i="28"/>
  <c r="E1" i="28"/>
  <c r="D1" i="28"/>
  <c r="C1" i="28"/>
  <c r="B1" i="28"/>
  <c r="A8" i="27"/>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7" i="27"/>
  <c r="F1" i="27"/>
  <c r="E1" i="27"/>
  <c r="D1" i="27"/>
  <c r="C1" i="27"/>
  <c r="B1" i="27"/>
  <c r="A8" i="26"/>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7" i="26"/>
  <c r="F1" i="26"/>
  <c r="E1" i="26"/>
  <c r="D1" i="26"/>
  <c r="C1" i="26"/>
  <c r="B1" i="26"/>
  <c r="F2" i="25"/>
  <c r="E2" i="25"/>
  <c r="D2" i="25"/>
  <c r="C2" i="25"/>
  <c r="B2" i="25"/>
  <c r="F2" i="24"/>
  <c r="E2" i="24"/>
  <c r="D2" i="24"/>
  <c r="C2" i="24"/>
  <c r="B2" i="24"/>
  <c r="F2" i="23"/>
  <c r="E2" i="23"/>
  <c r="D2" i="23"/>
  <c r="C2" i="23"/>
  <c r="B2" i="23"/>
  <c r="F2" i="22"/>
  <c r="E2" i="22"/>
  <c r="D2" i="22"/>
  <c r="C2" i="22"/>
  <c r="B2" i="22"/>
  <c r="F2" i="21"/>
  <c r="E2" i="21"/>
  <c r="D2" i="21"/>
  <c r="C2" i="21"/>
  <c r="B2" i="21"/>
  <c r="F2" i="20"/>
  <c r="E2" i="20"/>
  <c r="D2" i="20"/>
  <c r="C2" i="20"/>
  <c r="B2" i="20"/>
  <c r="F2" i="19"/>
  <c r="E2" i="19"/>
  <c r="D2" i="19"/>
  <c r="C2" i="19"/>
  <c r="B2" i="19"/>
  <c r="F2" i="18"/>
  <c r="E2" i="18"/>
  <c r="D2" i="18"/>
  <c r="C2" i="18"/>
  <c r="B2" i="18"/>
  <c r="F2" i="17"/>
  <c r="E2" i="17"/>
  <c r="D2" i="17"/>
  <c r="C2" i="17"/>
  <c r="B2" i="17"/>
  <c r="F2" i="16"/>
  <c r="E2" i="16"/>
  <c r="D2" i="16"/>
  <c r="C2" i="16"/>
  <c r="B2" i="16"/>
  <c r="F2" i="15"/>
  <c r="E2" i="15"/>
  <c r="D2" i="15"/>
  <c r="C2" i="15"/>
  <c r="B2" i="15"/>
  <c r="F2" i="14"/>
  <c r="E2" i="14"/>
  <c r="D2" i="14"/>
  <c r="C2" i="14"/>
  <c r="B2" i="14"/>
  <c r="A8" i="25"/>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7" i="25"/>
  <c r="F1" i="25"/>
  <c r="E1" i="25"/>
  <c r="D1" i="25"/>
  <c r="C1" i="25"/>
  <c r="B1" i="25"/>
  <c r="A8" i="24"/>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7" i="24"/>
  <c r="F1" i="24"/>
  <c r="E1" i="24"/>
  <c r="D1" i="24"/>
  <c r="C1" i="24"/>
  <c r="B1" i="24"/>
  <c r="A8" i="23"/>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7" i="23"/>
  <c r="F1" i="23"/>
  <c r="E1" i="23"/>
  <c r="D1" i="23"/>
  <c r="C1" i="23"/>
  <c r="B1" i="23"/>
  <c r="A8" i="22"/>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7" i="22"/>
  <c r="F1" i="22"/>
  <c r="E1" i="22"/>
  <c r="D1" i="22"/>
  <c r="C1" i="22"/>
  <c r="B1" i="22"/>
  <c r="A8" i="2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7" i="21"/>
  <c r="F1" i="21"/>
  <c r="E1" i="21"/>
  <c r="D1" i="21"/>
  <c r="C1" i="21"/>
  <c r="B1" i="21"/>
  <c r="A8" i="20"/>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7" i="20"/>
  <c r="F1" i="20"/>
  <c r="E1" i="20"/>
  <c r="D1" i="20"/>
  <c r="C1" i="20"/>
  <c r="B1" i="20"/>
  <c r="A8" i="19"/>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7" i="19"/>
  <c r="F1" i="19"/>
  <c r="E1" i="19"/>
  <c r="D1" i="19"/>
  <c r="C1" i="19"/>
  <c r="B1" i="19"/>
  <c r="A8" i="18"/>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7" i="18"/>
  <c r="F1" i="18"/>
  <c r="E1" i="18"/>
  <c r="D1" i="18"/>
  <c r="C1" i="18"/>
  <c r="B1" i="18"/>
  <c r="A8" i="17"/>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7" i="17"/>
  <c r="F1" i="17"/>
  <c r="E1" i="17"/>
  <c r="D1" i="17"/>
  <c r="C1" i="17"/>
  <c r="B1" i="17"/>
  <c r="A8" i="16"/>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7" i="16"/>
  <c r="F1" i="16"/>
  <c r="E1" i="16"/>
  <c r="D1" i="16"/>
  <c r="C1" i="16"/>
  <c r="B1" i="16"/>
  <c r="A8" i="15"/>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7" i="15"/>
  <c r="F1" i="15"/>
  <c r="E1" i="15"/>
  <c r="D1" i="15"/>
  <c r="C1" i="15"/>
  <c r="B1" i="15"/>
  <c r="A8" i="14"/>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7" i="14"/>
  <c r="F1" i="14"/>
  <c r="E1" i="14"/>
  <c r="D1" i="14"/>
  <c r="C1" i="14"/>
  <c r="B1" i="14"/>
  <c r="F2" i="13"/>
  <c r="E2" i="13"/>
  <c r="D2" i="13"/>
  <c r="C2" i="13"/>
  <c r="B2" i="13"/>
  <c r="A8" i="13"/>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7" i="13"/>
  <c r="F1" i="13"/>
  <c r="E1" i="13"/>
  <c r="D1" i="13"/>
  <c r="C1" i="13"/>
  <c r="B1" i="13"/>
  <c r="F2" i="12"/>
  <c r="E2" i="12"/>
  <c r="D2" i="12"/>
  <c r="C2" i="12"/>
  <c r="B2" i="12"/>
  <c r="A8" i="12"/>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7" i="12"/>
  <c r="F1" i="12"/>
  <c r="E1" i="12"/>
  <c r="D1" i="12"/>
  <c r="C1" i="12"/>
  <c r="B1" i="12"/>
  <c r="F2" i="11"/>
  <c r="E2" i="11"/>
  <c r="D2" i="11"/>
  <c r="C2" i="11"/>
  <c r="B2" i="11"/>
  <c r="A8" i="1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7" i="11"/>
  <c r="F1" i="11"/>
  <c r="E1" i="11"/>
  <c r="D1" i="11"/>
  <c r="C1" i="11"/>
  <c r="B1" i="11"/>
  <c r="F2" i="10"/>
  <c r="E2" i="10"/>
  <c r="D2" i="10"/>
  <c r="C2" i="10"/>
  <c r="B2" i="10"/>
  <c r="A8" i="9"/>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7" i="9"/>
  <c r="F2" i="9"/>
  <c r="E2" i="9"/>
  <c r="D2" i="9"/>
  <c r="C2" i="9"/>
  <c r="B2" i="9"/>
  <c r="F1" i="9"/>
  <c r="E1" i="9"/>
  <c r="D1" i="9"/>
  <c r="C1" i="9"/>
  <c r="B1" i="9"/>
  <c r="A8" i="8"/>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7" i="8"/>
  <c r="F2" i="8"/>
  <c r="E2" i="8"/>
  <c r="D2" i="8"/>
  <c r="C2" i="8"/>
  <c r="B2" i="8"/>
  <c r="F1" i="8"/>
  <c r="E1" i="8"/>
  <c r="D1" i="8"/>
  <c r="C1" i="8"/>
  <c r="B1" i="8"/>
  <c r="A8" i="10"/>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7" i="10"/>
  <c r="F1" i="10"/>
  <c r="E1" i="10"/>
  <c r="D1" i="10"/>
  <c r="C1" i="10"/>
  <c r="B1" i="10"/>
  <c r="B2" i="5"/>
  <c r="B2" i="6"/>
  <c r="F2" i="7"/>
  <c r="E2" i="7"/>
  <c r="D2" i="7"/>
  <c r="C2" i="7"/>
  <c r="B2" i="7"/>
  <c r="A8" i="7"/>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7" i="7"/>
  <c r="F1" i="7"/>
  <c r="E1" i="7"/>
  <c r="D1" i="7"/>
  <c r="C1" i="7"/>
  <c r="B1" i="7"/>
  <c r="F2" i="6"/>
  <c r="E2" i="6"/>
  <c r="D2" i="6"/>
  <c r="C2" i="6"/>
  <c r="A8" i="6"/>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7" i="6"/>
  <c r="F1" i="6"/>
  <c r="E1" i="6"/>
  <c r="D1" i="6"/>
  <c r="C1" i="6"/>
  <c r="B1" i="6"/>
  <c r="F2" i="5"/>
  <c r="E2" i="5"/>
  <c r="D2" i="5"/>
  <c r="C2" i="5"/>
  <c r="A8" i="5"/>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7" i="5"/>
  <c r="F1" i="5"/>
  <c r="E1" i="5"/>
  <c r="D1" i="5"/>
  <c r="C1" i="5"/>
  <c r="B1" i="5"/>
  <c r="F1" i="4"/>
  <c r="F2" i="4"/>
  <c r="F1" i="3"/>
  <c r="F2" i="3"/>
  <c r="F1" i="1"/>
  <c r="F2" i="1"/>
  <c r="E2" i="4"/>
  <c r="D2" i="4"/>
  <c r="C2" i="4"/>
  <c r="B2" i="4"/>
  <c r="A7" i="4"/>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E1" i="4"/>
  <c r="D1" i="4"/>
  <c r="C1" i="4"/>
  <c r="B1" i="4"/>
  <c r="E2" i="3"/>
  <c r="D2" i="3"/>
  <c r="C2" i="3"/>
  <c r="B2" i="3"/>
  <c r="A8" i="3"/>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7" i="3"/>
  <c r="E1" i="3"/>
  <c r="D1" i="3"/>
  <c r="C1" i="3"/>
  <c r="B1" i="3"/>
  <c r="B2" i="1"/>
  <c r="C2" i="1"/>
  <c r="D2" i="1"/>
  <c r="E2" i="1"/>
  <c r="C1" i="1"/>
  <c r="D1" i="1"/>
  <c r="E1" i="1"/>
  <c r="B1" i="1"/>
  <c r="A7" i="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alcChain>
</file>

<file path=xl/comments1.xml><?xml version="1.0" encoding="utf-8"?>
<comments xmlns="http://schemas.openxmlformats.org/spreadsheetml/2006/main">
  <authors>
    <author>Microsoft Office User</author>
  </authors>
  <commentList>
    <comment ref="A3" authorId="0" shapeId="0">
      <text>
        <r>
          <rPr>
            <b/>
            <sz val="10"/>
            <color rgb="FF000000"/>
            <rFont val="Tahoma"/>
            <family val="2"/>
          </rPr>
          <t>Brooke:</t>
        </r>
        <r>
          <rPr>
            <sz val="10"/>
            <color rgb="FF000000"/>
            <rFont val="Tahoma"/>
            <family val="2"/>
          </rPr>
          <t xml:space="preserve">
</t>
        </r>
        <r>
          <rPr>
            <sz val="10"/>
            <color rgb="FF000000"/>
            <rFont val="Tahoma"/>
            <family val="2"/>
          </rPr>
          <t xml:space="preserve">Can you make this a button that then takes you to the spreadsheet for the respective scenario? (Scenario 1 goes to scenario 1 spreadsheet, etc...)
</t>
        </r>
        <r>
          <rPr>
            <sz val="10"/>
            <color rgb="FF000000"/>
            <rFont val="Tahoma"/>
            <family val="2"/>
          </rPr>
          <t xml:space="preserve">
</t>
        </r>
        <r>
          <rPr>
            <sz val="10"/>
            <color rgb="FF000000"/>
            <rFont val="Tahoma"/>
            <family val="2"/>
          </rPr>
          <t xml:space="preserve">If the Scenario sheet is empty, the button should be red, and if the scenario sheet is filled out, then the button should be green... then the user knows whether or not they've done a given scenario
</t>
        </r>
      </text>
    </comment>
  </commentList>
</comments>
</file>

<file path=xl/sharedStrings.xml><?xml version="1.0" encoding="utf-8"?>
<sst xmlns="http://schemas.openxmlformats.org/spreadsheetml/2006/main" count="4362" uniqueCount="272">
  <si>
    <t>Time step (days)</t>
  </si>
  <si>
    <t>Frequency (2x/week, 1x/week, 1x/2 weeks)</t>
  </si>
  <si>
    <t>Rt (0.8, 1.2, 2.0)</t>
  </si>
  <si>
    <t>Community Prevalence (0.1%, 1%)</t>
  </si>
  <si>
    <t>Test effectiveness (20%, 50%, 80%)</t>
  </si>
  <si>
    <t>Scenario</t>
  </si>
  <si>
    <t>All teachers</t>
  </si>
  <si>
    <t>2x/week</t>
  </si>
  <si>
    <t>1x/week</t>
  </si>
  <si>
    <t>1x/2 weeks</t>
  </si>
  <si>
    <t>Population targeted (All teachers, teachers + 5-12, teachers + 13-18, teachers +all students</t>
  </si>
  <si>
    <t>All teachers + 5-12 year olds</t>
  </si>
  <si>
    <t>All teachers + 13-18 year olds</t>
  </si>
  <si>
    <t>Scenario 1</t>
  </si>
  <si>
    <t>Scenario 2</t>
  </si>
  <si>
    <t>Scenario 3</t>
  </si>
  <si>
    <t>Scenario Complete?</t>
  </si>
  <si>
    <t>Scenario 4</t>
  </si>
  <si>
    <t>Scenario 5</t>
  </si>
  <si>
    <t>Scenario 6</t>
  </si>
  <si>
    <t>Scenario 8</t>
  </si>
  <si>
    <t>Scenario 9</t>
  </si>
  <si>
    <t>Scenario 7</t>
  </si>
  <si>
    <t>Scenario 10</t>
  </si>
  <si>
    <t>Scenario 11</t>
  </si>
  <si>
    <t>Scenario 12</t>
  </si>
  <si>
    <t>Scenario 13</t>
  </si>
  <si>
    <t>Scenario 14</t>
  </si>
  <si>
    <t>Scenario 15</t>
  </si>
  <si>
    <t>Scenario 16</t>
  </si>
  <si>
    <t>Scenario 17</t>
  </si>
  <si>
    <t>Scenario 18</t>
  </si>
  <si>
    <t>Scenario 19</t>
  </si>
  <si>
    <t>Scenario 20</t>
  </si>
  <si>
    <t>Scenario 21</t>
  </si>
  <si>
    <t>Scenario 22</t>
  </si>
  <si>
    <t>Scenario 23</t>
  </si>
  <si>
    <t>Scenario 24</t>
  </si>
  <si>
    <t>Scenario 25</t>
  </si>
  <si>
    <t>Scenario 26</t>
  </si>
  <si>
    <t>Scenario 27</t>
  </si>
  <si>
    <t>Scenario 28</t>
  </si>
  <si>
    <t>Scenario 29</t>
  </si>
  <si>
    <t>Scenario 30</t>
  </si>
  <si>
    <t>Scenario 31</t>
  </si>
  <si>
    <t>Scenario 32</t>
  </si>
  <si>
    <t>Scenario 33</t>
  </si>
  <si>
    <t>Scenario 34</t>
  </si>
  <si>
    <t>Scenario 35</t>
  </si>
  <si>
    <t>Scenario 36</t>
  </si>
  <si>
    <t>Scenario 37</t>
  </si>
  <si>
    <t>Scenario 38</t>
  </si>
  <si>
    <t>Scenario 39</t>
  </si>
  <si>
    <t>Scenario 40</t>
  </si>
  <si>
    <t>Scenario 41</t>
  </si>
  <si>
    <t>Scenario 42</t>
  </si>
  <si>
    <t>Scenario 43</t>
  </si>
  <si>
    <t>Scenario 44</t>
  </si>
  <si>
    <t>Scenario 45</t>
  </si>
  <si>
    <t>Scenario 46</t>
  </si>
  <si>
    <t>Scenario 47</t>
  </si>
  <si>
    <t>Scenario 48</t>
  </si>
  <si>
    <t>Scenario 49</t>
  </si>
  <si>
    <t>Scenario 50</t>
  </si>
  <si>
    <t>Scenario 51</t>
  </si>
  <si>
    <t>Scenario 52</t>
  </si>
  <si>
    <t>Scenario 53</t>
  </si>
  <si>
    <t>Scenario 54</t>
  </si>
  <si>
    <t>Scenario 55</t>
  </si>
  <si>
    <t>Scenario 56</t>
  </si>
  <si>
    <t>Scenario 57</t>
  </si>
  <si>
    <t>Scenario 58</t>
  </si>
  <si>
    <t>Scenario 59</t>
  </si>
  <si>
    <t>Scenario 60</t>
  </si>
  <si>
    <t>Scenario 61</t>
  </si>
  <si>
    <t>Scenario 62</t>
  </si>
  <si>
    <t>Scenario 63</t>
  </si>
  <si>
    <t>Scenario 64</t>
  </si>
  <si>
    <t>Scenario 65</t>
  </si>
  <si>
    <t>Scenario 66</t>
  </si>
  <si>
    <t>Scenario 67</t>
  </si>
  <si>
    <t>Scenario 68</t>
  </si>
  <si>
    <t>Scenario 69</t>
  </si>
  <si>
    <t>Scenario 70</t>
  </si>
  <si>
    <t>Scenario 71</t>
  </si>
  <si>
    <t>Scenario 72</t>
  </si>
  <si>
    <t>Scenario 73</t>
  </si>
  <si>
    <t>Scenario 74</t>
  </si>
  <si>
    <t>Scenario 75</t>
  </si>
  <si>
    <t>Scenario 76</t>
  </si>
  <si>
    <t>Scenario 77</t>
  </si>
  <si>
    <t>Scenario 78</t>
  </si>
  <si>
    <t>Scenario 79</t>
  </si>
  <si>
    <t>Scenario 80</t>
  </si>
  <si>
    <t>Scenario 81</t>
  </si>
  <si>
    <t>Scenario 82</t>
  </si>
  <si>
    <t>Scenario 83</t>
  </si>
  <si>
    <t>Scenario 84</t>
  </si>
  <si>
    <t>Scenario 85</t>
  </si>
  <si>
    <t>Scenario 86</t>
  </si>
  <si>
    <t>Scenario 87</t>
  </si>
  <si>
    <t>Scenario 88</t>
  </si>
  <si>
    <t>Scenario 89</t>
  </si>
  <si>
    <t>Scenario 90</t>
  </si>
  <si>
    <t>Scenario 91</t>
  </si>
  <si>
    <t>Scenario 92</t>
  </si>
  <si>
    <t>Scenario 93</t>
  </si>
  <si>
    <t>Scenario 94</t>
  </si>
  <si>
    <t>Scenario 95</t>
  </si>
  <si>
    <t>Scenario 96</t>
  </si>
  <si>
    <t>Scenario 97</t>
  </si>
  <si>
    <t>Scenario 98</t>
  </si>
  <si>
    <t>Scenario 99</t>
  </si>
  <si>
    <t>Scenario 100</t>
  </si>
  <si>
    <t>Scenario 101</t>
  </si>
  <si>
    <t>Scenario 102</t>
  </si>
  <si>
    <t>Scenario 103</t>
  </si>
  <si>
    <t>Scenario 104</t>
  </si>
  <si>
    <t>Scenario 105</t>
  </si>
  <si>
    <t>Scenario 106</t>
  </si>
  <si>
    <t>Scenario 107</t>
  </si>
  <si>
    <t>Scenario 108</t>
  </si>
  <si>
    <t>Scenario 109</t>
  </si>
  <si>
    <t>Scenario 110</t>
  </si>
  <si>
    <t>Scenario 111</t>
  </si>
  <si>
    <t>Scenario 112</t>
  </si>
  <si>
    <t>Scenario 113</t>
  </si>
  <si>
    <t>Scenario 114</t>
  </si>
  <si>
    <t>Scenario 115</t>
  </si>
  <si>
    <t>Scenario 116</t>
  </si>
  <si>
    <t>Scenario 117</t>
  </si>
  <si>
    <t>Scenario 118</t>
  </si>
  <si>
    <t>Scenario 119</t>
  </si>
  <si>
    <t>Scenario 120</t>
  </si>
  <si>
    <t>Scenario 121</t>
  </si>
  <si>
    <t>Scenario 122</t>
  </si>
  <si>
    <t>Scenario 123</t>
  </si>
  <si>
    <t>Scenario 124</t>
  </si>
  <si>
    <t>Scenario 125</t>
  </si>
  <si>
    <t>Scenario 126</t>
  </si>
  <si>
    <t>Scenario 127</t>
  </si>
  <si>
    <t>Scenario 128</t>
  </si>
  <si>
    <t>Scenario 129</t>
  </si>
  <si>
    <t>Scenario 130</t>
  </si>
  <si>
    <t>Scenario 131</t>
  </si>
  <si>
    <t>Scenario 132</t>
  </si>
  <si>
    <t>Scenario 133</t>
  </si>
  <si>
    <t>Scenario 134</t>
  </si>
  <si>
    <t>Scenario 135</t>
  </si>
  <si>
    <t>Scenario 136</t>
  </si>
  <si>
    <t>Scenario 137</t>
  </si>
  <si>
    <t>Scenario 138</t>
  </si>
  <si>
    <t>Scenario 139</t>
  </si>
  <si>
    <t>Scenario 140</t>
  </si>
  <si>
    <t>Scenario 141</t>
  </si>
  <si>
    <t>Scenario 142</t>
  </si>
  <si>
    <t>Scenario 143</t>
  </si>
  <si>
    <t>Scenario 144</t>
  </si>
  <si>
    <t>Scenario 145</t>
  </si>
  <si>
    <t>Scenario 146</t>
  </si>
  <si>
    <t>Scenario 147</t>
  </si>
  <si>
    <t>Scenario 148</t>
  </si>
  <si>
    <t>Scenario 149</t>
  </si>
  <si>
    <t>Scenario 150</t>
  </si>
  <si>
    <t>Scenario 151</t>
  </si>
  <si>
    <t>Scenario 152</t>
  </si>
  <si>
    <t>Scenario 153</t>
  </si>
  <si>
    <t>Scenario 154</t>
  </si>
  <si>
    <t>Scenario 155</t>
  </si>
  <si>
    <t>Scenario 156</t>
  </si>
  <si>
    <t>Scenario 157</t>
  </si>
  <si>
    <t>Scenario 158</t>
  </si>
  <si>
    <t>Scenario 159</t>
  </si>
  <si>
    <t>Scenario 160</t>
  </si>
  <si>
    <t>Scenario 161</t>
  </si>
  <si>
    <t>Scenario 162</t>
  </si>
  <si>
    <t>Scenario 163</t>
  </si>
  <si>
    <t>Scenario 164</t>
  </si>
  <si>
    <t>Scenario 165</t>
  </si>
  <si>
    <t>Scenario 166</t>
  </si>
  <si>
    <t>Scenario 167</t>
  </si>
  <si>
    <t>Scenario 168</t>
  </si>
  <si>
    <t>Scenario 169</t>
  </si>
  <si>
    <t>Scenario 170</t>
  </si>
  <si>
    <t>Scenario 171</t>
  </si>
  <si>
    <t>Scenario 172</t>
  </si>
  <si>
    <t>Scenario 173</t>
  </si>
  <si>
    <t>Scenario 174</t>
  </si>
  <si>
    <t>Scenario 175</t>
  </si>
  <si>
    <t>Scenario 176</t>
  </si>
  <si>
    <t>Scenario 177</t>
  </si>
  <si>
    <t>Scenario 178</t>
  </si>
  <si>
    <t>Scenario 179</t>
  </si>
  <si>
    <t>Scenario 180</t>
  </si>
  <si>
    <t>Scenario 181</t>
  </si>
  <si>
    <t>Scenario 182</t>
  </si>
  <si>
    <t>Scenario 183</t>
  </si>
  <si>
    <t>Scenario 184</t>
  </si>
  <si>
    <t>Scenario 185</t>
  </si>
  <si>
    <t>Scenario 186</t>
  </si>
  <si>
    <t>Scenario 187</t>
  </si>
  <si>
    <t>Scenario 188</t>
  </si>
  <si>
    <t>Scenario 189</t>
  </si>
  <si>
    <t>Scenario 190</t>
  </si>
  <si>
    <t>Scenario 191</t>
  </si>
  <si>
    <t>Scenario 192</t>
  </si>
  <si>
    <t>Scenario 193</t>
  </si>
  <si>
    <t>Scenario 194</t>
  </si>
  <si>
    <t>Scenario 195</t>
  </si>
  <si>
    <t>Scenario 196</t>
  </si>
  <si>
    <t>Scenario 197</t>
  </si>
  <si>
    <t>Scenario 198</t>
  </si>
  <si>
    <t>Scenario 199</t>
  </si>
  <si>
    <t>Scenario 200</t>
  </si>
  <si>
    <t>Scenario 201</t>
  </si>
  <si>
    <t>Scenario 202</t>
  </si>
  <si>
    <t>Scenario 203</t>
  </si>
  <si>
    <t>Scenario 204</t>
  </si>
  <si>
    <t>Scenario 205</t>
  </si>
  <si>
    <t>Scenario 206</t>
  </si>
  <si>
    <t>Scenario 207</t>
  </si>
  <si>
    <t>Scenario 208</t>
  </si>
  <si>
    <t>Scenario 209</t>
  </si>
  <si>
    <t>Scenario 210</t>
  </si>
  <si>
    <t>Scenario 211</t>
  </si>
  <si>
    <t>Scenario 212</t>
  </si>
  <si>
    <t>Scenario 213</t>
  </si>
  <si>
    <t>Scenario 214</t>
  </si>
  <si>
    <t>Scenario 215</t>
  </si>
  <si>
    <t>Scenario 216</t>
  </si>
  <si>
    <t>All teachers + all students</t>
  </si>
  <si>
    <t>Daily tests used</t>
  </si>
  <si>
    <t>Mean simulation</t>
  </si>
  <si>
    <t>95% CI simulation (low)</t>
  </si>
  <si>
    <t>95% CI simulation (high)</t>
  </si>
  <si>
    <t>Daily incident infections (teachers)</t>
  </si>
  <si>
    <t>Population size (School)</t>
  </si>
  <si>
    <t>Daily Incident infections (students aged 5-12)</t>
  </si>
  <si>
    <t>Daily incident infections (students aged 13-18)</t>
  </si>
  <si>
    <t>Population size (teachers/staff)</t>
  </si>
  <si>
    <t>Population size (students ages 13-18)</t>
  </si>
  <si>
    <t>Population size (students ages 5-12)</t>
  </si>
  <si>
    <t>Notes</t>
  </si>
  <si>
    <t>Pupils in primary education (ages 6-12), Malawi 2019</t>
  </si>
  <si>
    <t>Pupils in secondary education (ages 13-17), Malawi 2019</t>
  </si>
  <si>
    <t>#</t>
  </si>
  <si>
    <t>Definition</t>
  </si>
  <si>
    <t>Source</t>
  </si>
  <si>
    <t>Pupil-teacher ratio, primary education, Malawi</t>
  </si>
  <si>
    <t>https://data.worldbank.org/indicator/SE.SEC.ENRL?end=2019&amp;locations=MW&amp;start=1972&amp;view=chart</t>
  </si>
  <si>
    <t>Pupil-teacher ratio, secondary education, Malawi, 2015</t>
  </si>
  <si>
    <t>https://data.worldbank.org/indicator/SE.SEC.ENRL.TC.ZS?end=2019&amp;locations=MW&amp;start=1972&amp;view=chart</t>
  </si>
  <si>
    <t>https://data.worldbank.org/indicator/SE.PRM.ENRL?locations=MW</t>
  </si>
  <si>
    <t>https://data.worldbank.org/indicator/SE.PRM.ENRL.TC.ZS?locations=MW</t>
  </si>
  <si>
    <t>Adaptation of model to LIC context</t>
  </si>
  <si>
    <t>Number of primary schools in Malawi, 2017</t>
  </si>
  <si>
    <t>Number of secondary schools in Malawi, 2017</t>
  </si>
  <si>
    <t>https://www.unicef.org/esa/sites/unicef.org.esa/files/2019-04/UNICEF-Malawi-2018-Education-Budget-Brief.pdf</t>
  </si>
  <si>
    <t>Pupils per primary school</t>
  </si>
  <si>
    <t>Pupils per secondary school</t>
  </si>
  <si>
    <t>Primary school SAR, given Rt=0.8</t>
  </si>
  <si>
    <t>Secondary school SAR, given Rt=0.8</t>
  </si>
  <si>
    <t>Teachers per primary school</t>
  </si>
  <si>
    <t>Teachers per secondary school</t>
  </si>
  <si>
    <t>Total people per primary school</t>
  </si>
  <si>
    <t>Total people per secondary school</t>
  </si>
  <si>
    <t>Primary school SAR, given Rt=1.2</t>
  </si>
  <si>
    <t>Secondary school SAR, given Rt=1.2</t>
  </si>
  <si>
    <t>Primary school SAR, given Rt=2</t>
  </si>
  <si>
    <t>Secondary school SAR, given Rt=2</t>
  </si>
  <si>
    <t>Rounded</t>
  </si>
  <si>
    <t>Fraction of days in 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</si>
</sst>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Tahoma"/>
      <family val="2"/>
    </font>
    <font>
      <b/>
      <sz val="10"/>
      <color rgb="FF000000"/>
      <name val="Tahoma"/>
      <family val="2"/>
    </font>
    <font>
      <sz val="11"/>
      <color theme="1"/>
      <name val="Calibri"/>
      <family val="2"/>
      <scheme val="minor"/>
    </font>
    <font>
      <i/>
      <sz val="12"/>
      <color theme="1"/>
      <name val="Calibri"/>
      <family val="2"/>
      <scheme val="minor"/>
    </font>
    <font>
      <u/>
      <sz val="12"/>
      <color theme="1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s>
  <borders count="2">
    <border>
      <left/>
      <right/>
      <top/>
      <bottom/>
      <diagonal/>
    </border>
    <border>
      <left/>
      <right/>
      <top/>
      <bottom style="thin">
        <color indexed="64"/>
      </bottom>
      <diagonal/>
    </border>
  </borders>
  <cellStyleXfs count="3">
    <xf numFmtId="0" fontId="0" fillId="0" borderId="0"/>
    <xf numFmtId="9" fontId="1" fillId="0" borderId="0" applyFont="0" applyFill="0" applyBorder="0" applyAlignment="0" applyProtection="0"/>
    <xf numFmtId="0" fontId="7" fillId="0" borderId="0" applyNumberFormat="0" applyFill="0" applyBorder="0" applyAlignment="0" applyProtection="0"/>
  </cellStyleXfs>
  <cellXfs count="32">
    <xf numFmtId="0" fontId="0" fillId="0" borderId="0" xfId="0"/>
    <xf numFmtId="0" fontId="2" fillId="0" borderId="0" xfId="0" applyFont="1"/>
    <xf numFmtId="0" fontId="0" fillId="0" borderId="0" xfId="0" applyAlignment="1">
      <alignment wrapText="1"/>
    </xf>
    <xf numFmtId="10" fontId="0" fillId="0" borderId="0" xfId="0" applyNumberFormat="1"/>
    <xf numFmtId="9" fontId="0" fillId="0" borderId="0" xfId="0" applyNumberFormat="1"/>
    <xf numFmtId="0" fontId="0" fillId="2" borderId="0" xfId="0" applyFill="1"/>
    <xf numFmtId="0" fontId="0" fillId="0" borderId="1" xfId="0" applyBorder="1"/>
    <xf numFmtId="0" fontId="0" fillId="0" borderId="1" xfId="0" applyBorder="1" applyAlignment="1">
      <alignment horizontal="left"/>
    </xf>
    <xf numFmtId="0" fontId="0" fillId="0" borderId="0" xfId="0" applyAlignment="1">
      <alignment horizontal="left"/>
    </xf>
    <xf numFmtId="10" fontId="0" fillId="0" borderId="0" xfId="1" applyNumberFormat="1" applyFont="1" applyAlignment="1">
      <alignment horizontal="left"/>
    </xf>
    <xf numFmtId="0" fontId="2" fillId="2" borderId="0" xfId="0" applyFont="1" applyFill="1" applyAlignment="1">
      <alignment wrapText="1"/>
    </xf>
    <xf numFmtId="9" fontId="0" fillId="0" borderId="0" xfId="1" applyNumberFormat="1" applyFont="1" applyAlignment="1">
      <alignment horizontal="left"/>
    </xf>
    <xf numFmtId="0" fontId="5" fillId="0" borderId="0" xfId="0" applyFont="1"/>
    <xf numFmtId="0" fontId="0" fillId="3" borderId="0" xfId="0" applyFill="1"/>
    <xf numFmtId="0" fontId="0" fillId="4" borderId="0" xfId="0" applyFill="1"/>
    <xf numFmtId="0" fontId="2" fillId="2" borderId="0" xfId="0" applyFont="1" applyFill="1"/>
    <xf numFmtId="0" fontId="0" fillId="3" borderId="0" xfId="0" applyFill="1" applyAlignment="1">
      <alignment wrapText="1"/>
    </xf>
    <xf numFmtId="0" fontId="0" fillId="4" borderId="0" xfId="0" applyFill="1" applyAlignment="1">
      <alignment wrapText="1"/>
    </xf>
    <xf numFmtId="0" fontId="0" fillId="5" borderId="0" xfId="0" applyFill="1"/>
    <xf numFmtId="0" fontId="6" fillId="5" borderId="0" xfId="0" applyFont="1" applyFill="1"/>
    <xf numFmtId="0" fontId="0" fillId="6" borderId="0" xfId="0" applyFill="1"/>
    <xf numFmtId="0" fontId="6" fillId="6" borderId="0" xfId="0" applyFont="1" applyFill="1"/>
    <xf numFmtId="0" fontId="6" fillId="7" borderId="0" xfId="0" applyFont="1" applyFill="1"/>
    <xf numFmtId="0" fontId="0" fillId="0" borderId="0" xfId="0" applyFill="1" applyAlignment="1">
      <alignment wrapText="1"/>
    </xf>
    <xf numFmtId="0" fontId="0" fillId="0" borderId="0" xfId="0" applyFill="1"/>
    <xf numFmtId="0" fontId="0" fillId="8" borderId="0" xfId="0" applyFill="1" applyAlignment="1">
      <alignment wrapText="1"/>
    </xf>
    <xf numFmtId="0" fontId="0" fillId="8" borderId="0" xfId="0" applyFill="1"/>
    <xf numFmtId="0" fontId="0" fillId="9" borderId="0" xfId="0" applyFill="1"/>
    <xf numFmtId="0" fontId="6" fillId="9" borderId="0" xfId="0" applyFont="1" applyFill="1"/>
    <xf numFmtId="0" fontId="2" fillId="0" borderId="0" xfId="0" applyFont="1" applyFill="1" applyAlignment="1">
      <alignment wrapText="1"/>
    </xf>
    <xf numFmtId="0" fontId="6" fillId="0" borderId="0" xfId="0" applyFont="1" applyFill="1"/>
    <xf numFmtId="0" fontId="7" fillId="0" borderId="0" xfId="2"/>
  </cellXfs>
  <cellStyles count="3">
    <cellStyle name="Hyperlink" xfId="2" builtinId="8"/>
    <cellStyle name="Normal" xfId="0" builtinId="0"/>
    <cellStyle name="Percent" xfId="1" builtinId="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13" Type="http://schemas.openxmlformats.org/officeDocument/2006/relationships/worksheet" Target="worksheets/sheet13.xml"/><Relationship Id="rId109" Type="http://schemas.openxmlformats.org/officeDocument/2006/relationships/worksheet" Target="worksheets/sheet109.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theme" Target="theme/theme1.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openxmlformats.org/officeDocument/2006/relationships/styles" Target="styles.xml"/><Relationship Id="rId3" Type="http://schemas.openxmlformats.org/officeDocument/2006/relationships/worksheet" Target="worksheets/sheet3.xml"/><Relationship Id="rId214" Type="http://schemas.openxmlformats.org/officeDocument/2006/relationships/worksheet" Target="worksheets/sheet214.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calcChain" Target="calcChain.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microsoft.com/office/2006/relationships/vbaProject" Target="vbaProject.bin"/><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18" Type="http://schemas.openxmlformats.org/officeDocument/2006/relationships/worksheet" Target="worksheets/sheet18.xml"/><Relationship Id="rId39" Type="http://schemas.openxmlformats.org/officeDocument/2006/relationships/worksheet" Target="worksheets/sheet39.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 Type="http://schemas.openxmlformats.org/officeDocument/2006/relationships/worksheet" Target="worksheets/sheet2.xml"/><Relationship Id="rId29" Type="http://schemas.openxmlformats.org/officeDocument/2006/relationships/worksheet" Target="worksheets/sheet29.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s>
</file>

<file path=xl/drawings/drawing1.xml><?xml version="1.0" encoding="utf-8"?>
<xdr:wsDr xmlns:xdr="http://schemas.openxmlformats.org/drawingml/2006/spreadsheetDrawing" xmlns:a="http://schemas.openxmlformats.org/drawingml/2006/main">
  <xdr:twoCellAnchor>
    <xdr:from>
      <xdr:col>0</xdr:col>
      <xdr:colOff>50800</xdr:colOff>
      <xdr:row>2</xdr:row>
      <xdr:rowOff>25400</xdr:rowOff>
    </xdr:from>
    <xdr:to>
      <xdr:col>1</xdr:col>
      <xdr:colOff>0</xdr:colOff>
      <xdr:row>2</xdr:row>
      <xdr:rowOff>190500</xdr:rowOff>
    </xdr:to>
    <xdr:sp macro="[0]!Rectangle3_Click" textlink="">
      <xdr:nvSpPr>
        <xdr:cNvPr id="4" name="Rectangle 3">
          <a:extLst>
            <a:ext uri="{FF2B5EF4-FFF2-40B4-BE49-F238E27FC236}">
              <a16:creationId xmlns:a16="http://schemas.microsoft.com/office/drawing/2014/main" id="{00000000-0008-0000-0000-000004000000}"/>
            </a:ext>
          </a:extLst>
        </xdr:cNvPr>
        <xdr:cNvSpPr/>
      </xdr:nvSpPr>
      <xdr:spPr>
        <a:xfrm>
          <a:off x="50800" y="1955800"/>
          <a:ext cx="774700" cy="165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a:t>
          </a:r>
          <a:r>
            <a:rPr lang="en-US" sz="800"/>
            <a:t>1</a:t>
          </a:r>
        </a:p>
      </xdr:txBody>
    </xdr:sp>
    <xdr:clientData/>
  </xdr:twoCellAnchor>
  <xdr:twoCellAnchor>
    <xdr:from>
      <xdr:col>0</xdr:col>
      <xdr:colOff>45683</xdr:colOff>
      <xdr:row>3</xdr:row>
      <xdr:rowOff>18273</xdr:rowOff>
    </xdr:from>
    <xdr:to>
      <xdr:col>0</xdr:col>
      <xdr:colOff>794892</xdr:colOff>
      <xdr:row>3</xdr:row>
      <xdr:rowOff>173597</xdr:rowOff>
    </xdr:to>
    <xdr:sp macro="[0]!Rectangle2_Click" textlink="">
      <xdr:nvSpPr>
        <xdr:cNvPr id="3" name="Rectangle 2">
          <a:extLst>
            <a:ext uri="{FF2B5EF4-FFF2-40B4-BE49-F238E27FC236}">
              <a16:creationId xmlns:a16="http://schemas.microsoft.com/office/drawing/2014/main" id="{00000000-0008-0000-0000-000003000000}"/>
            </a:ext>
          </a:extLst>
        </xdr:cNvPr>
        <xdr:cNvSpPr/>
      </xdr:nvSpPr>
      <xdr:spPr>
        <a:xfrm>
          <a:off x="45683" y="218366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a:t>
          </a:r>
          <a:endParaRPr lang="en-US" sz="800"/>
        </a:p>
      </xdr:txBody>
    </xdr:sp>
    <xdr:clientData/>
  </xdr:twoCellAnchor>
  <xdr:twoCellAnchor>
    <xdr:from>
      <xdr:col>0</xdr:col>
      <xdr:colOff>51896</xdr:colOff>
      <xdr:row>4</xdr:row>
      <xdr:rowOff>24486</xdr:rowOff>
    </xdr:from>
    <xdr:to>
      <xdr:col>0</xdr:col>
      <xdr:colOff>801105</xdr:colOff>
      <xdr:row>4</xdr:row>
      <xdr:rowOff>179810</xdr:rowOff>
    </xdr:to>
    <xdr:sp macro="[0]!Rectangle4_Click" textlink="">
      <xdr:nvSpPr>
        <xdr:cNvPr id="5" name="Rectangle 4">
          <a:extLst>
            <a:ext uri="{FF2B5EF4-FFF2-40B4-BE49-F238E27FC236}">
              <a16:creationId xmlns:a16="http://schemas.microsoft.com/office/drawing/2014/main" id="{00000000-0008-0000-0000-000005000000}"/>
            </a:ext>
          </a:extLst>
        </xdr:cNvPr>
        <xdr:cNvSpPr/>
      </xdr:nvSpPr>
      <xdr:spPr>
        <a:xfrm>
          <a:off x="51896" y="239088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a:t>
          </a:r>
          <a:endParaRPr lang="en-US" sz="800"/>
        </a:p>
      </xdr:txBody>
    </xdr:sp>
    <xdr:clientData/>
  </xdr:twoCellAnchor>
  <xdr:twoCellAnchor>
    <xdr:from>
      <xdr:col>0</xdr:col>
      <xdr:colOff>48972</xdr:colOff>
      <xdr:row>5</xdr:row>
      <xdr:rowOff>21563</xdr:rowOff>
    </xdr:from>
    <xdr:to>
      <xdr:col>0</xdr:col>
      <xdr:colOff>798181</xdr:colOff>
      <xdr:row>5</xdr:row>
      <xdr:rowOff>176887</xdr:rowOff>
    </xdr:to>
    <xdr:sp macro="[0]!Rectangle5_Click" textlink="">
      <xdr:nvSpPr>
        <xdr:cNvPr id="6" name="Rectangle 5">
          <a:extLst>
            <a:ext uri="{FF2B5EF4-FFF2-40B4-BE49-F238E27FC236}">
              <a16:creationId xmlns:a16="http://schemas.microsoft.com/office/drawing/2014/main" id="{00000000-0008-0000-0000-000006000000}"/>
            </a:ext>
          </a:extLst>
        </xdr:cNvPr>
        <xdr:cNvSpPr/>
      </xdr:nvSpPr>
      <xdr:spPr>
        <a:xfrm>
          <a:off x="48972" y="258897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a:t>
          </a:r>
          <a:endParaRPr lang="en-US" sz="800"/>
        </a:p>
      </xdr:txBody>
    </xdr:sp>
    <xdr:clientData/>
  </xdr:twoCellAnchor>
  <xdr:twoCellAnchor>
    <xdr:from>
      <xdr:col>0</xdr:col>
      <xdr:colOff>55185</xdr:colOff>
      <xdr:row>6</xdr:row>
      <xdr:rowOff>18640</xdr:rowOff>
    </xdr:from>
    <xdr:to>
      <xdr:col>0</xdr:col>
      <xdr:colOff>804394</xdr:colOff>
      <xdr:row>6</xdr:row>
      <xdr:rowOff>173964</xdr:rowOff>
    </xdr:to>
    <xdr:sp macro="[0]!Rectangle6_Click" textlink="">
      <xdr:nvSpPr>
        <xdr:cNvPr id="7" name="Rectangle 6">
          <a:extLst>
            <a:ext uri="{FF2B5EF4-FFF2-40B4-BE49-F238E27FC236}">
              <a16:creationId xmlns:a16="http://schemas.microsoft.com/office/drawing/2014/main" id="{00000000-0008-0000-0000-000007000000}"/>
            </a:ext>
          </a:extLst>
        </xdr:cNvPr>
        <xdr:cNvSpPr/>
      </xdr:nvSpPr>
      <xdr:spPr>
        <a:xfrm>
          <a:off x="55185" y="278705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a:t>
          </a:r>
          <a:endParaRPr lang="en-US" sz="800"/>
        </a:p>
      </xdr:txBody>
    </xdr:sp>
    <xdr:clientData/>
  </xdr:twoCellAnchor>
  <xdr:twoCellAnchor>
    <xdr:from>
      <xdr:col>0</xdr:col>
      <xdr:colOff>61398</xdr:colOff>
      <xdr:row>7</xdr:row>
      <xdr:rowOff>24853</xdr:rowOff>
    </xdr:from>
    <xdr:to>
      <xdr:col>0</xdr:col>
      <xdr:colOff>810607</xdr:colOff>
      <xdr:row>7</xdr:row>
      <xdr:rowOff>180177</xdr:rowOff>
    </xdr:to>
    <xdr:sp macro="[0]!Rectangle7_Click" textlink="">
      <xdr:nvSpPr>
        <xdr:cNvPr id="8" name="Rectangle 7">
          <a:extLst>
            <a:ext uri="{FF2B5EF4-FFF2-40B4-BE49-F238E27FC236}">
              <a16:creationId xmlns:a16="http://schemas.microsoft.com/office/drawing/2014/main" id="{00000000-0008-0000-0000-000008000000}"/>
            </a:ext>
          </a:extLst>
        </xdr:cNvPr>
        <xdr:cNvSpPr/>
      </xdr:nvSpPr>
      <xdr:spPr>
        <a:xfrm>
          <a:off x="61398" y="299427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a:t>
          </a:r>
          <a:endParaRPr lang="en-US" sz="800"/>
        </a:p>
      </xdr:txBody>
    </xdr:sp>
    <xdr:clientData/>
  </xdr:twoCellAnchor>
  <xdr:twoCellAnchor>
    <xdr:from>
      <xdr:col>0</xdr:col>
      <xdr:colOff>67611</xdr:colOff>
      <xdr:row>8</xdr:row>
      <xdr:rowOff>21928</xdr:rowOff>
    </xdr:from>
    <xdr:to>
      <xdr:col>0</xdr:col>
      <xdr:colOff>816820</xdr:colOff>
      <xdr:row>8</xdr:row>
      <xdr:rowOff>177252</xdr:rowOff>
    </xdr:to>
    <xdr:sp macro="[0]!Rectangle8_Click" textlink="">
      <xdr:nvSpPr>
        <xdr:cNvPr id="9" name="Rectangle 8">
          <a:extLst>
            <a:ext uri="{FF2B5EF4-FFF2-40B4-BE49-F238E27FC236}">
              <a16:creationId xmlns:a16="http://schemas.microsoft.com/office/drawing/2014/main" id="{00000000-0008-0000-0000-000009000000}"/>
            </a:ext>
          </a:extLst>
        </xdr:cNvPr>
        <xdr:cNvSpPr/>
      </xdr:nvSpPr>
      <xdr:spPr>
        <a:xfrm>
          <a:off x="67611" y="319236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a:t>
          </a:r>
          <a:endParaRPr lang="en-US" sz="800"/>
        </a:p>
      </xdr:txBody>
    </xdr:sp>
    <xdr:clientData/>
  </xdr:twoCellAnchor>
  <xdr:twoCellAnchor>
    <xdr:from>
      <xdr:col>0</xdr:col>
      <xdr:colOff>64687</xdr:colOff>
      <xdr:row>9</xdr:row>
      <xdr:rowOff>19004</xdr:rowOff>
    </xdr:from>
    <xdr:to>
      <xdr:col>0</xdr:col>
      <xdr:colOff>813896</xdr:colOff>
      <xdr:row>9</xdr:row>
      <xdr:rowOff>174328</xdr:rowOff>
    </xdr:to>
    <xdr:sp macro="[0]!Rectangle9_Click" textlink="">
      <xdr:nvSpPr>
        <xdr:cNvPr id="10" name="Rectangle 9">
          <a:extLst>
            <a:ext uri="{FF2B5EF4-FFF2-40B4-BE49-F238E27FC236}">
              <a16:creationId xmlns:a16="http://schemas.microsoft.com/office/drawing/2014/main" id="{00000000-0008-0000-0000-00000A000000}"/>
            </a:ext>
          </a:extLst>
        </xdr:cNvPr>
        <xdr:cNvSpPr/>
      </xdr:nvSpPr>
      <xdr:spPr>
        <a:xfrm>
          <a:off x="64687" y="339044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a:t>
          </a:r>
          <a:endParaRPr lang="en-US" sz="800"/>
        </a:p>
      </xdr:txBody>
    </xdr:sp>
    <xdr:clientData/>
  </xdr:twoCellAnchor>
  <xdr:twoCellAnchor>
    <xdr:from>
      <xdr:col>0</xdr:col>
      <xdr:colOff>61763</xdr:colOff>
      <xdr:row>10</xdr:row>
      <xdr:rowOff>6943</xdr:rowOff>
    </xdr:from>
    <xdr:to>
      <xdr:col>0</xdr:col>
      <xdr:colOff>810972</xdr:colOff>
      <xdr:row>10</xdr:row>
      <xdr:rowOff>162267</xdr:rowOff>
    </xdr:to>
    <xdr:sp macro="[0]!Rectangle10_Click" textlink="">
      <xdr:nvSpPr>
        <xdr:cNvPr id="11" name="Rectangle 10">
          <a:extLst>
            <a:ext uri="{FF2B5EF4-FFF2-40B4-BE49-F238E27FC236}">
              <a16:creationId xmlns:a16="http://schemas.microsoft.com/office/drawing/2014/main" id="{00000000-0008-0000-0000-00000B000000}"/>
            </a:ext>
          </a:extLst>
        </xdr:cNvPr>
        <xdr:cNvSpPr/>
      </xdr:nvSpPr>
      <xdr:spPr>
        <a:xfrm>
          <a:off x="61763" y="357938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a:t>
          </a:r>
          <a:endParaRPr lang="en-US" sz="800"/>
        </a:p>
      </xdr:txBody>
    </xdr:sp>
    <xdr:clientData/>
  </xdr:twoCellAnchor>
  <xdr:twoCellAnchor>
    <xdr:from>
      <xdr:col>0</xdr:col>
      <xdr:colOff>67976</xdr:colOff>
      <xdr:row>11</xdr:row>
      <xdr:rowOff>22293</xdr:rowOff>
    </xdr:from>
    <xdr:to>
      <xdr:col>0</xdr:col>
      <xdr:colOff>817185</xdr:colOff>
      <xdr:row>11</xdr:row>
      <xdr:rowOff>177617</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a:xfrm>
          <a:off x="67976" y="379574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a:t>
          </a:r>
          <a:endParaRPr lang="en-US" sz="800"/>
        </a:p>
      </xdr:txBody>
    </xdr:sp>
    <xdr:clientData/>
  </xdr:twoCellAnchor>
  <xdr:twoCellAnchor>
    <xdr:from>
      <xdr:col>0</xdr:col>
      <xdr:colOff>65052</xdr:colOff>
      <xdr:row>12</xdr:row>
      <xdr:rowOff>19370</xdr:rowOff>
    </xdr:from>
    <xdr:to>
      <xdr:col>0</xdr:col>
      <xdr:colOff>814261</xdr:colOff>
      <xdr:row>12</xdr:row>
      <xdr:rowOff>174694</xdr:rowOff>
    </xdr:to>
    <xdr:sp macro="[0]!Rectangle12_Click" textlink="">
      <xdr:nvSpPr>
        <xdr:cNvPr id="13" name="Rectangle 12">
          <a:extLst>
            <a:ext uri="{FF2B5EF4-FFF2-40B4-BE49-F238E27FC236}">
              <a16:creationId xmlns:a16="http://schemas.microsoft.com/office/drawing/2014/main" id="{00000000-0008-0000-0000-00000D000000}"/>
            </a:ext>
          </a:extLst>
        </xdr:cNvPr>
        <xdr:cNvSpPr/>
      </xdr:nvSpPr>
      <xdr:spPr>
        <a:xfrm>
          <a:off x="65052" y="399383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a:t>
          </a:r>
          <a:endParaRPr lang="en-US" sz="800"/>
        </a:p>
      </xdr:txBody>
    </xdr:sp>
    <xdr:clientData/>
  </xdr:twoCellAnchor>
  <xdr:twoCellAnchor>
    <xdr:from>
      <xdr:col>0</xdr:col>
      <xdr:colOff>71265</xdr:colOff>
      <xdr:row>13</xdr:row>
      <xdr:rowOff>7309</xdr:rowOff>
    </xdr:from>
    <xdr:to>
      <xdr:col>0</xdr:col>
      <xdr:colOff>820474</xdr:colOff>
      <xdr:row>13</xdr:row>
      <xdr:rowOff>162633</xdr:rowOff>
    </xdr:to>
    <xdr:sp macro="[0]!Rectangle13_Click" textlink="">
      <xdr:nvSpPr>
        <xdr:cNvPr id="14" name="Rectangle 13">
          <a:extLst>
            <a:ext uri="{FF2B5EF4-FFF2-40B4-BE49-F238E27FC236}">
              <a16:creationId xmlns:a16="http://schemas.microsoft.com/office/drawing/2014/main" id="{00000000-0008-0000-0000-00000E000000}"/>
            </a:ext>
          </a:extLst>
        </xdr:cNvPr>
        <xdr:cNvSpPr/>
      </xdr:nvSpPr>
      <xdr:spPr>
        <a:xfrm>
          <a:off x="71265" y="418277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a:t>
          </a:r>
          <a:endParaRPr lang="en-US" sz="800"/>
        </a:p>
      </xdr:txBody>
    </xdr:sp>
    <xdr:clientData/>
  </xdr:twoCellAnchor>
  <xdr:twoCellAnchor>
    <xdr:from>
      <xdr:col>0</xdr:col>
      <xdr:colOff>55186</xdr:colOff>
      <xdr:row>15</xdr:row>
      <xdr:rowOff>36913</xdr:rowOff>
    </xdr:from>
    <xdr:to>
      <xdr:col>0</xdr:col>
      <xdr:colOff>804395</xdr:colOff>
      <xdr:row>15</xdr:row>
      <xdr:rowOff>192237</xdr:rowOff>
    </xdr:to>
    <xdr:sp macro="[0]!Rectangle14_Click" textlink="">
      <xdr:nvSpPr>
        <xdr:cNvPr id="15" name="Rectangle 14">
          <a:extLst>
            <a:ext uri="{FF2B5EF4-FFF2-40B4-BE49-F238E27FC236}">
              <a16:creationId xmlns:a16="http://schemas.microsoft.com/office/drawing/2014/main" id="{00000000-0008-0000-0000-00000F000000}"/>
            </a:ext>
          </a:extLst>
        </xdr:cNvPr>
        <xdr:cNvSpPr/>
      </xdr:nvSpPr>
      <xdr:spPr>
        <a:xfrm>
          <a:off x="55186" y="461439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a:t>
          </a:r>
          <a:endParaRPr lang="en-US" sz="800"/>
        </a:p>
      </xdr:txBody>
    </xdr:sp>
    <xdr:clientData/>
  </xdr:twoCellAnchor>
  <xdr:twoCellAnchor>
    <xdr:from>
      <xdr:col>0</xdr:col>
      <xdr:colOff>61399</xdr:colOff>
      <xdr:row>16</xdr:row>
      <xdr:rowOff>33990</xdr:rowOff>
    </xdr:from>
    <xdr:to>
      <xdr:col>0</xdr:col>
      <xdr:colOff>810608</xdr:colOff>
      <xdr:row>16</xdr:row>
      <xdr:rowOff>189314</xdr:rowOff>
    </xdr:to>
    <xdr:sp macro="[0]!Rectangle15_Click" textlink="">
      <xdr:nvSpPr>
        <xdr:cNvPr id="16" name="Rectangle 15">
          <a:extLst>
            <a:ext uri="{FF2B5EF4-FFF2-40B4-BE49-F238E27FC236}">
              <a16:creationId xmlns:a16="http://schemas.microsoft.com/office/drawing/2014/main" id="{00000000-0008-0000-0000-000010000000}"/>
            </a:ext>
          </a:extLst>
        </xdr:cNvPr>
        <xdr:cNvSpPr/>
      </xdr:nvSpPr>
      <xdr:spPr>
        <a:xfrm>
          <a:off x="61399" y="481247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a:t>
          </a:r>
          <a:endParaRPr lang="en-US" sz="800"/>
        </a:p>
      </xdr:txBody>
    </xdr:sp>
    <xdr:clientData/>
  </xdr:twoCellAnchor>
  <xdr:twoCellAnchor>
    <xdr:from>
      <xdr:col>0</xdr:col>
      <xdr:colOff>67612</xdr:colOff>
      <xdr:row>17</xdr:row>
      <xdr:rowOff>40203</xdr:rowOff>
    </xdr:from>
    <xdr:to>
      <xdr:col>0</xdr:col>
      <xdr:colOff>816821</xdr:colOff>
      <xdr:row>17</xdr:row>
      <xdr:rowOff>195527</xdr:rowOff>
    </xdr:to>
    <xdr:sp macro="[0]!Rectangle16_Click" textlink="">
      <xdr:nvSpPr>
        <xdr:cNvPr id="17" name="Rectangle 16">
          <a:extLst>
            <a:ext uri="{FF2B5EF4-FFF2-40B4-BE49-F238E27FC236}">
              <a16:creationId xmlns:a16="http://schemas.microsoft.com/office/drawing/2014/main" id="{00000000-0008-0000-0000-000011000000}"/>
            </a:ext>
          </a:extLst>
        </xdr:cNvPr>
        <xdr:cNvSpPr/>
      </xdr:nvSpPr>
      <xdr:spPr>
        <a:xfrm>
          <a:off x="67612" y="501969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a:t>
          </a:r>
          <a:endParaRPr lang="en-US" sz="800"/>
        </a:p>
      </xdr:txBody>
    </xdr:sp>
    <xdr:clientData/>
  </xdr:twoCellAnchor>
  <xdr:twoCellAnchor>
    <xdr:from>
      <xdr:col>0</xdr:col>
      <xdr:colOff>73825</xdr:colOff>
      <xdr:row>18</xdr:row>
      <xdr:rowOff>37278</xdr:rowOff>
    </xdr:from>
    <xdr:to>
      <xdr:col>1</xdr:col>
      <xdr:colOff>732</xdr:colOff>
      <xdr:row>18</xdr:row>
      <xdr:rowOff>192602</xdr:rowOff>
    </xdr:to>
    <xdr:sp macro="[0]!Rectangle17_Click" textlink="">
      <xdr:nvSpPr>
        <xdr:cNvPr id="18" name="Rectangle 17">
          <a:extLst>
            <a:ext uri="{FF2B5EF4-FFF2-40B4-BE49-F238E27FC236}">
              <a16:creationId xmlns:a16="http://schemas.microsoft.com/office/drawing/2014/main" id="{00000000-0008-0000-0000-000012000000}"/>
            </a:ext>
          </a:extLst>
        </xdr:cNvPr>
        <xdr:cNvSpPr/>
      </xdr:nvSpPr>
      <xdr:spPr>
        <a:xfrm>
          <a:off x="73825" y="521778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a:t>
          </a:r>
          <a:endParaRPr lang="en-US" sz="800"/>
        </a:p>
      </xdr:txBody>
    </xdr:sp>
    <xdr:clientData/>
  </xdr:twoCellAnchor>
  <xdr:twoCellAnchor>
    <xdr:from>
      <xdr:col>0</xdr:col>
      <xdr:colOff>70901</xdr:colOff>
      <xdr:row>19</xdr:row>
      <xdr:rowOff>34354</xdr:rowOff>
    </xdr:from>
    <xdr:to>
      <xdr:col>0</xdr:col>
      <xdr:colOff>820110</xdr:colOff>
      <xdr:row>19</xdr:row>
      <xdr:rowOff>189678</xdr:rowOff>
    </xdr:to>
    <xdr:sp macro="[0]!Rectangle18_Click" textlink="">
      <xdr:nvSpPr>
        <xdr:cNvPr id="19" name="Rectangle 18">
          <a:extLst>
            <a:ext uri="{FF2B5EF4-FFF2-40B4-BE49-F238E27FC236}">
              <a16:creationId xmlns:a16="http://schemas.microsoft.com/office/drawing/2014/main" id="{00000000-0008-0000-0000-000013000000}"/>
            </a:ext>
          </a:extLst>
        </xdr:cNvPr>
        <xdr:cNvSpPr/>
      </xdr:nvSpPr>
      <xdr:spPr>
        <a:xfrm>
          <a:off x="70901" y="541586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a:t>
          </a:r>
          <a:endParaRPr lang="en-US" sz="800"/>
        </a:p>
      </xdr:txBody>
    </xdr:sp>
    <xdr:clientData/>
  </xdr:twoCellAnchor>
  <xdr:twoCellAnchor>
    <xdr:from>
      <xdr:col>0</xdr:col>
      <xdr:colOff>67977</xdr:colOff>
      <xdr:row>20</xdr:row>
      <xdr:rowOff>22293</xdr:rowOff>
    </xdr:from>
    <xdr:to>
      <xdr:col>0</xdr:col>
      <xdr:colOff>817186</xdr:colOff>
      <xdr:row>20</xdr:row>
      <xdr:rowOff>177617</xdr:rowOff>
    </xdr:to>
    <xdr:sp macro="[0]!Rectangle19_Click" textlink="">
      <xdr:nvSpPr>
        <xdr:cNvPr id="20" name="Rectangle 19">
          <a:extLst>
            <a:ext uri="{FF2B5EF4-FFF2-40B4-BE49-F238E27FC236}">
              <a16:creationId xmlns:a16="http://schemas.microsoft.com/office/drawing/2014/main" id="{00000000-0008-0000-0000-000014000000}"/>
            </a:ext>
          </a:extLst>
        </xdr:cNvPr>
        <xdr:cNvSpPr/>
      </xdr:nvSpPr>
      <xdr:spPr>
        <a:xfrm>
          <a:off x="67977" y="560481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a:t>
          </a:r>
          <a:endParaRPr lang="en-US" sz="800"/>
        </a:p>
      </xdr:txBody>
    </xdr:sp>
    <xdr:clientData/>
  </xdr:twoCellAnchor>
  <xdr:twoCellAnchor>
    <xdr:from>
      <xdr:col>0</xdr:col>
      <xdr:colOff>58109</xdr:colOff>
      <xdr:row>14</xdr:row>
      <xdr:rowOff>21562</xdr:rowOff>
    </xdr:from>
    <xdr:to>
      <xdr:col>0</xdr:col>
      <xdr:colOff>807318</xdr:colOff>
      <xdr:row>14</xdr:row>
      <xdr:rowOff>176886</xdr:rowOff>
    </xdr:to>
    <xdr:sp macro="[0]!Rectangle20_Click" textlink="">
      <xdr:nvSpPr>
        <xdr:cNvPr id="21" name="Rectangle 20">
          <a:extLst>
            <a:ext uri="{FF2B5EF4-FFF2-40B4-BE49-F238E27FC236}">
              <a16:creationId xmlns:a16="http://schemas.microsoft.com/office/drawing/2014/main" id="{00000000-0008-0000-0000-000015000000}"/>
            </a:ext>
          </a:extLst>
        </xdr:cNvPr>
        <xdr:cNvSpPr/>
      </xdr:nvSpPr>
      <xdr:spPr>
        <a:xfrm>
          <a:off x="58109" y="439803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a:t>
          </a:r>
          <a:endParaRPr lang="en-US" sz="800"/>
        </a:p>
      </xdr:txBody>
    </xdr:sp>
    <xdr:clientData/>
  </xdr:twoCellAnchor>
  <xdr:twoCellAnchor>
    <xdr:from>
      <xdr:col>0</xdr:col>
      <xdr:colOff>65052</xdr:colOff>
      <xdr:row>21</xdr:row>
      <xdr:rowOff>28506</xdr:rowOff>
    </xdr:from>
    <xdr:to>
      <xdr:col>0</xdr:col>
      <xdr:colOff>814261</xdr:colOff>
      <xdr:row>21</xdr:row>
      <xdr:rowOff>183830</xdr:rowOff>
    </xdr:to>
    <xdr:sp macro="[0]!Rectangle21_Click" textlink="">
      <xdr:nvSpPr>
        <xdr:cNvPr id="22" name="Rectangle 21">
          <a:extLst>
            <a:ext uri="{FF2B5EF4-FFF2-40B4-BE49-F238E27FC236}">
              <a16:creationId xmlns:a16="http://schemas.microsoft.com/office/drawing/2014/main" id="{00000000-0008-0000-0000-000016000000}"/>
            </a:ext>
          </a:extLst>
        </xdr:cNvPr>
        <xdr:cNvSpPr/>
      </xdr:nvSpPr>
      <xdr:spPr>
        <a:xfrm>
          <a:off x="65052" y="581203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a:t>
          </a:r>
          <a:endParaRPr lang="en-US" sz="800"/>
        </a:p>
      </xdr:txBody>
    </xdr:sp>
    <xdr:clientData/>
  </xdr:twoCellAnchor>
  <xdr:twoCellAnchor>
    <xdr:from>
      <xdr:col>0</xdr:col>
      <xdr:colOff>62128</xdr:colOff>
      <xdr:row>22</xdr:row>
      <xdr:rowOff>25583</xdr:rowOff>
    </xdr:from>
    <xdr:to>
      <xdr:col>0</xdr:col>
      <xdr:colOff>811337</xdr:colOff>
      <xdr:row>22</xdr:row>
      <xdr:rowOff>180907</xdr:rowOff>
    </xdr:to>
    <xdr:sp macro="[0]!Rectangle22_Click" textlink="">
      <xdr:nvSpPr>
        <xdr:cNvPr id="23" name="Rectangle 22">
          <a:extLst>
            <a:ext uri="{FF2B5EF4-FFF2-40B4-BE49-F238E27FC236}">
              <a16:creationId xmlns:a16="http://schemas.microsoft.com/office/drawing/2014/main" id="{00000000-0008-0000-0000-000017000000}"/>
            </a:ext>
          </a:extLst>
        </xdr:cNvPr>
        <xdr:cNvSpPr/>
      </xdr:nvSpPr>
      <xdr:spPr>
        <a:xfrm>
          <a:off x="62128" y="601011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a:t>
          </a:r>
          <a:endParaRPr lang="en-US" sz="800"/>
        </a:p>
      </xdr:txBody>
    </xdr:sp>
    <xdr:clientData/>
  </xdr:twoCellAnchor>
  <xdr:twoCellAnchor>
    <xdr:from>
      <xdr:col>0</xdr:col>
      <xdr:colOff>68341</xdr:colOff>
      <xdr:row>23</xdr:row>
      <xdr:rowOff>13522</xdr:rowOff>
    </xdr:from>
    <xdr:to>
      <xdr:col>0</xdr:col>
      <xdr:colOff>817550</xdr:colOff>
      <xdr:row>23</xdr:row>
      <xdr:rowOff>168846</xdr:rowOff>
    </xdr:to>
    <xdr:sp macro="[0]!Rectangle23_Click" textlink="">
      <xdr:nvSpPr>
        <xdr:cNvPr id="24" name="Rectangle 23">
          <a:extLst>
            <a:ext uri="{FF2B5EF4-FFF2-40B4-BE49-F238E27FC236}">
              <a16:creationId xmlns:a16="http://schemas.microsoft.com/office/drawing/2014/main" id="{00000000-0008-0000-0000-000018000000}"/>
            </a:ext>
          </a:extLst>
        </xdr:cNvPr>
        <xdr:cNvSpPr/>
      </xdr:nvSpPr>
      <xdr:spPr>
        <a:xfrm>
          <a:off x="68341" y="619906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22</a:t>
          </a:r>
          <a:endParaRPr lang="en-US" sz="800"/>
        </a:p>
      </xdr:txBody>
    </xdr:sp>
    <xdr:clientData/>
  </xdr:twoCellAnchor>
  <xdr:twoCellAnchor>
    <xdr:from>
      <xdr:col>0</xdr:col>
      <xdr:colOff>52262</xdr:colOff>
      <xdr:row>25</xdr:row>
      <xdr:rowOff>43126</xdr:rowOff>
    </xdr:from>
    <xdr:to>
      <xdr:col>0</xdr:col>
      <xdr:colOff>801471</xdr:colOff>
      <xdr:row>25</xdr:row>
      <xdr:rowOff>198450</xdr:rowOff>
    </xdr:to>
    <xdr:sp macro="[0]!Rectangle24_Click" textlink="">
      <xdr:nvSpPr>
        <xdr:cNvPr id="25" name="Rectangle 24">
          <a:extLst>
            <a:ext uri="{FF2B5EF4-FFF2-40B4-BE49-F238E27FC236}">
              <a16:creationId xmlns:a16="http://schemas.microsoft.com/office/drawing/2014/main" id="{00000000-0008-0000-0000-000019000000}"/>
            </a:ext>
          </a:extLst>
        </xdr:cNvPr>
        <xdr:cNvSpPr/>
      </xdr:nvSpPr>
      <xdr:spPr>
        <a:xfrm>
          <a:off x="52262" y="663068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24</a:t>
          </a:r>
          <a:endParaRPr lang="en-US" sz="800"/>
        </a:p>
      </xdr:txBody>
    </xdr:sp>
    <xdr:clientData/>
  </xdr:twoCellAnchor>
  <xdr:twoCellAnchor>
    <xdr:from>
      <xdr:col>0</xdr:col>
      <xdr:colOff>58475</xdr:colOff>
      <xdr:row>26</xdr:row>
      <xdr:rowOff>40203</xdr:rowOff>
    </xdr:from>
    <xdr:to>
      <xdr:col>0</xdr:col>
      <xdr:colOff>807684</xdr:colOff>
      <xdr:row>26</xdr:row>
      <xdr:rowOff>195527</xdr:rowOff>
    </xdr:to>
    <xdr:sp macro="[0]!Rectangle25_Click" textlink="">
      <xdr:nvSpPr>
        <xdr:cNvPr id="26" name="Rectangle 25">
          <a:extLst>
            <a:ext uri="{FF2B5EF4-FFF2-40B4-BE49-F238E27FC236}">
              <a16:creationId xmlns:a16="http://schemas.microsoft.com/office/drawing/2014/main" id="{00000000-0008-0000-0000-00001A000000}"/>
            </a:ext>
          </a:extLst>
        </xdr:cNvPr>
        <xdr:cNvSpPr/>
      </xdr:nvSpPr>
      <xdr:spPr>
        <a:xfrm>
          <a:off x="58475" y="682876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25</a:t>
          </a:r>
          <a:endParaRPr lang="en-US" sz="800"/>
        </a:p>
      </xdr:txBody>
    </xdr:sp>
    <xdr:clientData/>
  </xdr:twoCellAnchor>
  <xdr:twoCellAnchor>
    <xdr:from>
      <xdr:col>0</xdr:col>
      <xdr:colOff>64688</xdr:colOff>
      <xdr:row>27</xdr:row>
      <xdr:rowOff>46416</xdr:rowOff>
    </xdr:from>
    <xdr:to>
      <xdr:col>0</xdr:col>
      <xdr:colOff>813897</xdr:colOff>
      <xdr:row>28</xdr:row>
      <xdr:rowOff>732</xdr:rowOff>
    </xdr:to>
    <xdr:sp macro="[0]!Rectangle26_Click" textlink="">
      <xdr:nvSpPr>
        <xdr:cNvPr id="27" name="Rectangle 26">
          <a:extLst>
            <a:ext uri="{FF2B5EF4-FFF2-40B4-BE49-F238E27FC236}">
              <a16:creationId xmlns:a16="http://schemas.microsoft.com/office/drawing/2014/main" id="{00000000-0008-0000-0000-00001B000000}"/>
            </a:ext>
          </a:extLst>
        </xdr:cNvPr>
        <xdr:cNvSpPr/>
      </xdr:nvSpPr>
      <xdr:spPr>
        <a:xfrm>
          <a:off x="64688" y="703598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26</a:t>
          </a:r>
          <a:endParaRPr lang="en-US" sz="800"/>
        </a:p>
      </xdr:txBody>
    </xdr:sp>
    <xdr:clientData/>
  </xdr:twoCellAnchor>
  <xdr:twoCellAnchor>
    <xdr:from>
      <xdr:col>0</xdr:col>
      <xdr:colOff>70901</xdr:colOff>
      <xdr:row>28</xdr:row>
      <xdr:rowOff>43491</xdr:rowOff>
    </xdr:from>
    <xdr:to>
      <xdr:col>0</xdr:col>
      <xdr:colOff>820110</xdr:colOff>
      <xdr:row>28</xdr:row>
      <xdr:rowOff>198815</xdr:rowOff>
    </xdr:to>
    <xdr:sp macro="[0]!Rectangle27_Click" textlink="">
      <xdr:nvSpPr>
        <xdr:cNvPr id="28" name="Rectangle 27">
          <a:extLst>
            <a:ext uri="{FF2B5EF4-FFF2-40B4-BE49-F238E27FC236}">
              <a16:creationId xmlns:a16="http://schemas.microsoft.com/office/drawing/2014/main" id="{00000000-0008-0000-0000-00001C000000}"/>
            </a:ext>
          </a:extLst>
        </xdr:cNvPr>
        <xdr:cNvSpPr/>
      </xdr:nvSpPr>
      <xdr:spPr>
        <a:xfrm>
          <a:off x="70901" y="723406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27</a:t>
          </a:r>
          <a:endParaRPr lang="en-US" sz="800"/>
        </a:p>
      </xdr:txBody>
    </xdr:sp>
    <xdr:clientData/>
  </xdr:twoCellAnchor>
  <xdr:twoCellAnchor>
    <xdr:from>
      <xdr:col>0</xdr:col>
      <xdr:colOff>67977</xdr:colOff>
      <xdr:row>29</xdr:row>
      <xdr:rowOff>40567</xdr:rowOff>
    </xdr:from>
    <xdr:to>
      <xdr:col>0</xdr:col>
      <xdr:colOff>817186</xdr:colOff>
      <xdr:row>29</xdr:row>
      <xdr:rowOff>195891</xdr:rowOff>
    </xdr:to>
    <xdr:sp macro="[0]!Rectangle28_Click" textlink="">
      <xdr:nvSpPr>
        <xdr:cNvPr id="29" name="Rectangle 28">
          <a:extLst>
            <a:ext uri="{FF2B5EF4-FFF2-40B4-BE49-F238E27FC236}">
              <a16:creationId xmlns:a16="http://schemas.microsoft.com/office/drawing/2014/main" id="{00000000-0008-0000-0000-00001D000000}"/>
            </a:ext>
          </a:extLst>
        </xdr:cNvPr>
        <xdr:cNvSpPr/>
      </xdr:nvSpPr>
      <xdr:spPr>
        <a:xfrm>
          <a:off x="67977" y="743215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28</a:t>
          </a:r>
          <a:endParaRPr lang="en-US" sz="800"/>
        </a:p>
      </xdr:txBody>
    </xdr:sp>
    <xdr:clientData/>
  </xdr:twoCellAnchor>
  <xdr:twoCellAnchor>
    <xdr:from>
      <xdr:col>0</xdr:col>
      <xdr:colOff>65053</xdr:colOff>
      <xdr:row>30</xdr:row>
      <xdr:rowOff>28506</xdr:rowOff>
    </xdr:from>
    <xdr:to>
      <xdr:col>0</xdr:col>
      <xdr:colOff>814262</xdr:colOff>
      <xdr:row>30</xdr:row>
      <xdr:rowOff>183830</xdr:rowOff>
    </xdr:to>
    <xdr:sp macro="[0]!Rectangle29_Click" textlink="">
      <xdr:nvSpPr>
        <xdr:cNvPr id="30" name="Rectangle 29">
          <a:extLst>
            <a:ext uri="{FF2B5EF4-FFF2-40B4-BE49-F238E27FC236}">
              <a16:creationId xmlns:a16="http://schemas.microsoft.com/office/drawing/2014/main" id="{00000000-0008-0000-0000-00001E000000}"/>
            </a:ext>
          </a:extLst>
        </xdr:cNvPr>
        <xdr:cNvSpPr/>
      </xdr:nvSpPr>
      <xdr:spPr>
        <a:xfrm>
          <a:off x="65053" y="762109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29</a:t>
          </a:r>
          <a:endParaRPr lang="en-US" sz="800"/>
        </a:p>
      </xdr:txBody>
    </xdr:sp>
    <xdr:clientData/>
  </xdr:twoCellAnchor>
  <xdr:twoCellAnchor>
    <xdr:from>
      <xdr:col>0</xdr:col>
      <xdr:colOff>55185</xdr:colOff>
      <xdr:row>24</xdr:row>
      <xdr:rowOff>27775</xdr:rowOff>
    </xdr:from>
    <xdr:to>
      <xdr:col>0</xdr:col>
      <xdr:colOff>804394</xdr:colOff>
      <xdr:row>24</xdr:row>
      <xdr:rowOff>183099</xdr:rowOff>
    </xdr:to>
    <xdr:sp macro="[0]!Rectangle30_Click" textlink="">
      <xdr:nvSpPr>
        <xdr:cNvPr id="31" name="Rectangle 30">
          <a:extLst>
            <a:ext uri="{FF2B5EF4-FFF2-40B4-BE49-F238E27FC236}">
              <a16:creationId xmlns:a16="http://schemas.microsoft.com/office/drawing/2014/main" id="{00000000-0008-0000-0000-00001F000000}"/>
            </a:ext>
          </a:extLst>
        </xdr:cNvPr>
        <xdr:cNvSpPr/>
      </xdr:nvSpPr>
      <xdr:spPr>
        <a:xfrm>
          <a:off x="55185" y="641432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23</a:t>
          </a:r>
          <a:endParaRPr lang="en-US" sz="800"/>
        </a:p>
      </xdr:txBody>
    </xdr:sp>
    <xdr:clientData/>
  </xdr:twoCellAnchor>
  <xdr:twoCellAnchor>
    <xdr:from>
      <xdr:col>0</xdr:col>
      <xdr:colOff>62128</xdr:colOff>
      <xdr:row>31</xdr:row>
      <xdr:rowOff>25583</xdr:rowOff>
    </xdr:from>
    <xdr:to>
      <xdr:col>0</xdr:col>
      <xdr:colOff>811337</xdr:colOff>
      <xdr:row>31</xdr:row>
      <xdr:rowOff>180907</xdr:rowOff>
    </xdr:to>
    <xdr:sp macro="[0]!Rectangle31_Click" textlink="">
      <xdr:nvSpPr>
        <xdr:cNvPr id="32" name="Rectangle 31">
          <a:extLst>
            <a:ext uri="{FF2B5EF4-FFF2-40B4-BE49-F238E27FC236}">
              <a16:creationId xmlns:a16="http://schemas.microsoft.com/office/drawing/2014/main" id="{00000000-0008-0000-0000-000020000000}"/>
            </a:ext>
          </a:extLst>
        </xdr:cNvPr>
        <xdr:cNvSpPr/>
      </xdr:nvSpPr>
      <xdr:spPr>
        <a:xfrm>
          <a:off x="62128" y="781918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30</a:t>
          </a:r>
          <a:endParaRPr lang="en-US" sz="800"/>
        </a:p>
      </xdr:txBody>
    </xdr:sp>
    <xdr:clientData/>
  </xdr:twoCellAnchor>
  <xdr:twoCellAnchor>
    <xdr:from>
      <xdr:col>0</xdr:col>
      <xdr:colOff>59204</xdr:colOff>
      <xdr:row>32</xdr:row>
      <xdr:rowOff>22660</xdr:rowOff>
    </xdr:from>
    <xdr:to>
      <xdr:col>0</xdr:col>
      <xdr:colOff>808413</xdr:colOff>
      <xdr:row>32</xdr:row>
      <xdr:rowOff>177984</xdr:rowOff>
    </xdr:to>
    <xdr:sp macro="[0]!Rectangle32_Click" textlink="">
      <xdr:nvSpPr>
        <xdr:cNvPr id="33" name="Rectangle 32">
          <a:extLst>
            <a:ext uri="{FF2B5EF4-FFF2-40B4-BE49-F238E27FC236}">
              <a16:creationId xmlns:a16="http://schemas.microsoft.com/office/drawing/2014/main" id="{00000000-0008-0000-0000-000021000000}"/>
            </a:ext>
          </a:extLst>
        </xdr:cNvPr>
        <xdr:cNvSpPr/>
      </xdr:nvSpPr>
      <xdr:spPr>
        <a:xfrm>
          <a:off x="59204" y="801726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31</a:t>
          </a:r>
          <a:endParaRPr lang="en-US" sz="800"/>
        </a:p>
      </xdr:txBody>
    </xdr:sp>
    <xdr:clientData/>
  </xdr:twoCellAnchor>
  <xdr:twoCellAnchor>
    <xdr:from>
      <xdr:col>0</xdr:col>
      <xdr:colOff>65417</xdr:colOff>
      <xdr:row>33</xdr:row>
      <xdr:rowOff>10599</xdr:rowOff>
    </xdr:from>
    <xdr:to>
      <xdr:col>0</xdr:col>
      <xdr:colOff>814626</xdr:colOff>
      <xdr:row>33</xdr:row>
      <xdr:rowOff>165923</xdr:rowOff>
    </xdr:to>
    <xdr:sp macro="[0]!Rectangle33_Click" textlink="">
      <xdr:nvSpPr>
        <xdr:cNvPr id="34" name="Rectangle 33">
          <a:extLst>
            <a:ext uri="{FF2B5EF4-FFF2-40B4-BE49-F238E27FC236}">
              <a16:creationId xmlns:a16="http://schemas.microsoft.com/office/drawing/2014/main" id="{00000000-0008-0000-0000-000022000000}"/>
            </a:ext>
          </a:extLst>
        </xdr:cNvPr>
        <xdr:cNvSpPr/>
      </xdr:nvSpPr>
      <xdr:spPr>
        <a:xfrm>
          <a:off x="65417" y="820621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32</a:t>
          </a:r>
          <a:endParaRPr lang="en-US" sz="800"/>
        </a:p>
      </xdr:txBody>
    </xdr:sp>
    <xdr:clientData/>
  </xdr:twoCellAnchor>
  <xdr:twoCellAnchor>
    <xdr:from>
      <xdr:col>0</xdr:col>
      <xdr:colOff>49338</xdr:colOff>
      <xdr:row>35</xdr:row>
      <xdr:rowOff>40203</xdr:rowOff>
    </xdr:from>
    <xdr:to>
      <xdr:col>0</xdr:col>
      <xdr:colOff>798547</xdr:colOff>
      <xdr:row>35</xdr:row>
      <xdr:rowOff>195527</xdr:rowOff>
    </xdr:to>
    <xdr:sp macro="[0]!Rectangle34_Click" textlink="">
      <xdr:nvSpPr>
        <xdr:cNvPr id="35" name="Rectangle 34">
          <a:extLst>
            <a:ext uri="{FF2B5EF4-FFF2-40B4-BE49-F238E27FC236}">
              <a16:creationId xmlns:a16="http://schemas.microsoft.com/office/drawing/2014/main" id="{00000000-0008-0000-0000-000023000000}"/>
            </a:ext>
          </a:extLst>
        </xdr:cNvPr>
        <xdr:cNvSpPr/>
      </xdr:nvSpPr>
      <xdr:spPr>
        <a:xfrm>
          <a:off x="49338" y="863782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34</a:t>
          </a:r>
          <a:endParaRPr lang="en-US" sz="800"/>
        </a:p>
      </xdr:txBody>
    </xdr:sp>
    <xdr:clientData/>
  </xdr:twoCellAnchor>
  <xdr:twoCellAnchor>
    <xdr:from>
      <xdr:col>0</xdr:col>
      <xdr:colOff>55551</xdr:colOff>
      <xdr:row>36</xdr:row>
      <xdr:rowOff>37280</xdr:rowOff>
    </xdr:from>
    <xdr:to>
      <xdr:col>0</xdr:col>
      <xdr:colOff>804760</xdr:colOff>
      <xdr:row>36</xdr:row>
      <xdr:rowOff>192604</xdr:rowOff>
    </xdr:to>
    <xdr:sp macro="[0]!Rectangle35_Click" textlink="">
      <xdr:nvSpPr>
        <xdr:cNvPr id="36" name="Rectangle 35">
          <a:extLst>
            <a:ext uri="{FF2B5EF4-FFF2-40B4-BE49-F238E27FC236}">
              <a16:creationId xmlns:a16="http://schemas.microsoft.com/office/drawing/2014/main" id="{00000000-0008-0000-0000-000024000000}"/>
            </a:ext>
          </a:extLst>
        </xdr:cNvPr>
        <xdr:cNvSpPr/>
      </xdr:nvSpPr>
      <xdr:spPr>
        <a:xfrm>
          <a:off x="55551" y="883591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35</a:t>
          </a:r>
          <a:endParaRPr lang="en-US" sz="800"/>
        </a:p>
      </xdr:txBody>
    </xdr:sp>
    <xdr:clientData/>
  </xdr:twoCellAnchor>
  <xdr:twoCellAnchor>
    <xdr:from>
      <xdr:col>0</xdr:col>
      <xdr:colOff>61764</xdr:colOff>
      <xdr:row>37</xdr:row>
      <xdr:rowOff>43493</xdr:rowOff>
    </xdr:from>
    <xdr:to>
      <xdr:col>0</xdr:col>
      <xdr:colOff>810973</xdr:colOff>
      <xdr:row>37</xdr:row>
      <xdr:rowOff>198817</xdr:rowOff>
    </xdr:to>
    <xdr:sp macro="[0]!Rectangle36_Click" textlink="">
      <xdr:nvSpPr>
        <xdr:cNvPr id="37" name="Rectangle 36">
          <a:extLst>
            <a:ext uri="{FF2B5EF4-FFF2-40B4-BE49-F238E27FC236}">
              <a16:creationId xmlns:a16="http://schemas.microsoft.com/office/drawing/2014/main" id="{00000000-0008-0000-0000-000025000000}"/>
            </a:ext>
          </a:extLst>
        </xdr:cNvPr>
        <xdr:cNvSpPr/>
      </xdr:nvSpPr>
      <xdr:spPr>
        <a:xfrm>
          <a:off x="61764" y="904313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36</a:t>
          </a:r>
          <a:endParaRPr lang="en-US" sz="800"/>
        </a:p>
      </xdr:txBody>
    </xdr:sp>
    <xdr:clientData/>
  </xdr:twoCellAnchor>
  <xdr:twoCellAnchor>
    <xdr:from>
      <xdr:col>0</xdr:col>
      <xdr:colOff>67977</xdr:colOff>
      <xdr:row>38</xdr:row>
      <xdr:rowOff>40569</xdr:rowOff>
    </xdr:from>
    <xdr:to>
      <xdr:col>0</xdr:col>
      <xdr:colOff>817186</xdr:colOff>
      <xdr:row>38</xdr:row>
      <xdr:rowOff>195893</xdr:rowOff>
    </xdr:to>
    <xdr:sp macro="[0]!Rectangle37_Click" textlink="">
      <xdr:nvSpPr>
        <xdr:cNvPr id="38" name="Rectangle 37">
          <a:extLst>
            <a:ext uri="{FF2B5EF4-FFF2-40B4-BE49-F238E27FC236}">
              <a16:creationId xmlns:a16="http://schemas.microsoft.com/office/drawing/2014/main" id="{00000000-0008-0000-0000-000026000000}"/>
            </a:ext>
          </a:extLst>
        </xdr:cNvPr>
        <xdr:cNvSpPr/>
      </xdr:nvSpPr>
      <xdr:spPr>
        <a:xfrm>
          <a:off x="67977" y="924121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37</a:t>
          </a:r>
          <a:endParaRPr lang="en-US" sz="800"/>
        </a:p>
      </xdr:txBody>
    </xdr:sp>
    <xdr:clientData/>
  </xdr:twoCellAnchor>
  <xdr:twoCellAnchor>
    <xdr:from>
      <xdr:col>0</xdr:col>
      <xdr:colOff>65053</xdr:colOff>
      <xdr:row>39</xdr:row>
      <xdr:rowOff>37644</xdr:rowOff>
    </xdr:from>
    <xdr:to>
      <xdr:col>0</xdr:col>
      <xdr:colOff>814262</xdr:colOff>
      <xdr:row>39</xdr:row>
      <xdr:rowOff>192968</xdr:rowOff>
    </xdr:to>
    <xdr:sp macro="[0]!Rectangle38_Click" textlink="">
      <xdr:nvSpPr>
        <xdr:cNvPr id="39" name="Rectangle 38">
          <a:extLst>
            <a:ext uri="{FF2B5EF4-FFF2-40B4-BE49-F238E27FC236}">
              <a16:creationId xmlns:a16="http://schemas.microsoft.com/office/drawing/2014/main" id="{00000000-0008-0000-0000-000027000000}"/>
            </a:ext>
          </a:extLst>
        </xdr:cNvPr>
        <xdr:cNvSpPr/>
      </xdr:nvSpPr>
      <xdr:spPr>
        <a:xfrm>
          <a:off x="65053" y="943929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38</a:t>
          </a:r>
          <a:endParaRPr lang="en-US" sz="800"/>
        </a:p>
      </xdr:txBody>
    </xdr:sp>
    <xdr:clientData/>
  </xdr:twoCellAnchor>
  <xdr:twoCellAnchor>
    <xdr:from>
      <xdr:col>0</xdr:col>
      <xdr:colOff>62129</xdr:colOff>
      <xdr:row>40</xdr:row>
      <xdr:rowOff>25583</xdr:rowOff>
    </xdr:from>
    <xdr:to>
      <xdr:col>0</xdr:col>
      <xdr:colOff>811338</xdr:colOff>
      <xdr:row>40</xdr:row>
      <xdr:rowOff>180907</xdr:rowOff>
    </xdr:to>
    <xdr:sp macro="[0]!Rectangle39_Click" textlink="">
      <xdr:nvSpPr>
        <xdr:cNvPr id="40" name="Rectangle 39">
          <a:extLst>
            <a:ext uri="{FF2B5EF4-FFF2-40B4-BE49-F238E27FC236}">
              <a16:creationId xmlns:a16="http://schemas.microsoft.com/office/drawing/2014/main" id="{00000000-0008-0000-0000-000028000000}"/>
            </a:ext>
          </a:extLst>
        </xdr:cNvPr>
        <xdr:cNvSpPr/>
      </xdr:nvSpPr>
      <xdr:spPr>
        <a:xfrm>
          <a:off x="62129" y="962824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39</a:t>
          </a:r>
          <a:endParaRPr lang="en-US" sz="800"/>
        </a:p>
      </xdr:txBody>
    </xdr:sp>
    <xdr:clientData/>
  </xdr:twoCellAnchor>
  <xdr:twoCellAnchor>
    <xdr:from>
      <xdr:col>0</xdr:col>
      <xdr:colOff>52261</xdr:colOff>
      <xdr:row>34</xdr:row>
      <xdr:rowOff>24852</xdr:rowOff>
    </xdr:from>
    <xdr:to>
      <xdr:col>0</xdr:col>
      <xdr:colOff>801470</xdr:colOff>
      <xdr:row>34</xdr:row>
      <xdr:rowOff>180176</xdr:rowOff>
    </xdr:to>
    <xdr:sp macro="[0]!Rectangle40_Click" textlink="">
      <xdr:nvSpPr>
        <xdr:cNvPr id="41" name="Rectangle 40">
          <a:extLst>
            <a:ext uri="{FF2B5EF4-FFF2-40B4-BE49-F238E27FC236}">
              <a16:creationId xmlns:a16="http://schemas.microsoft.com/office/drawing/2014/main" id="{00000000-0008-0000-0000-000029000000}"/>
            </a:ext>
          </a:extLst>
        </xdr:cNvPr>
        <xdr:cNvSpPr/>
      </xdr:nvSpPr>
      <xdr:spPr>
        <a:xfrm>
          <a:off x="52261" y="842147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33</a:t>
          </a:r>
          <a:endParaRPr lang="en-US" sz="800"/>
        </a:p>
      </xdr:txBody>
    </xdr:sp>
    <xdr:clientData/>
  </xdr:twoCellAnchor>
  <xdr:twoCellAnchor>
    <xdr:from>
      <xdr:col>0</xdr:col>
      <xdr:colOff>59205</xdr:colOff>
      <xdr:row>41</xdr:row>
      <xdr:rowOff>31796</xdr:rowOff>
    </xdr:from>
    <xdr:to>
      <xdr:col>0</xdr:col>
      <xdr:colOff>808414</xdr:colOff>
      <xdr:row>41</xdr:row>
      <xdr:rowOff>187120</xdr:rowOff>
    </xdr:to>
    <xdr:sp macro="[0]!Rectangle41_Click" textlink="">
      <xdr:nvSpPr>
        <xdr:cNvPr id="42" name="Rectangle 41">
          <a:extLst>
            <a:ext uri="{FF2B5EF4-FFF2-40B4-BE49-F238E27FC236}">
              <a16:creationId xmlns:a16="http://schemas.microsoft.com/office/drawing/2014/main" id="{00000000-0008-0000-0000-00002A000000}"/>
            </a:ext>
          </a:extLst>
        </xdr:cNvPr>
        <xdr:cNvSpPr/>
      </xdr:nvSpPr>
      <xdr:spPr>
        <a:xfrm>
          <a:off x="59205" y="983546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40</a:t>
          </a:r>
          <a:endParaRPr lang="en-US" sz="800"/>
        </a:p>
      </xdr:txBody>
    </xdr:sp>
    <xdr:clientData/>
  </xdr:twoCellAnchor>
  <xdr:twoCellAnchor>
    <xdr:from>
      <xdr:col>0</xdr:col>
      <xdr:colOff>56281</xdr:colOff>
      <xdr:row>42</xdr:row>
      <xdr:rowOff>28873</xdr:rowOff>
    </xdr:from>
    <xdr:to>
      <xdr:col>0</xdr:col>
      <xdr:colOff>805490</xdr:colOff>
      <xdr:row>42</xdr:row>
      <xdr:rowOff>184197</xdr:rowOff>
    </xdr:to>
    <xdr:sp macro="[0]!Rectangle42_Click" textlink="">
      <xdr:nvSpPr>
        <xdr:cNvPr id="43" name="Rectangle 42">
          <a:extLst>
            <a:ext uri="{FF2B5EF4-FFF2-40B4-BE49-F238E27FC236}">
              <a16:creationId xmlns:a16="http://schemas.microsoft.com/office/drawing/2014/main" id="{00000000-0008-0000-0000-00002B000000}"/>
            </a:ext>
          </a:extLst>
        </xdr:cNvPr>
        <xdr:cNvSpPr/>
      </xdr:nvSpPr>
      <xdr:spPr>
        <a:xfrm>
          <a:off x="56281" y="1003354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41</a:t>
          </a:r>
          <a:endParaRPr lang="en-US" sz="800"/>
        </a:p>
      </xdr:txBody>
    </xdr:sp>
    <xdr:clientData/>
  </xdr:twoCellAnchor>
  <xdr:twoCellAnchor>
    <xdr:from>
      <xdr:col>0</xdr:col>
      <xdr:colOff>62494</xdr:colOff>
      <xdr:row>43</xdr:row>
      <xdr:rowOff>16813</xdr:rowOff>
    </xdr:from>
    <xdr:to>
      <xdr:col>0</xdr:col>
      <xdr:colOff>811703</xdr:colOff>
      <xdr:row>43</xdr:row>
      <xdr:rowOff>172137</xdr:rowOff>
    </xdr:to>
    <xdr:sp macro="[0]!Rectangle43_Click" textlink="">
      <xdr:nvSpPr>
        <xdr:cNvPr id="44" name="Rectangle 43">
          <a:extLst>
            <a:ext uri="{FF2B5EF4-FFF2-40B4-BE49-F238E27FC236}">
              <a16:creationId xmlns:a16="http://schemas.microsoft.com/office/drawing/2014/main" id="{00000000-0008-0000-0000-00002C000000}"/>
            </a:ext>
          </a:extLst>
        </xdr:cNvPr>
        <xdr:cNvSpPr/>
      </xdr:nvSpPr>
      <xdr:spPr>
        <a:xfrm>
          <a:off x="62494" y="1022249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42</a:t>
          </a:r>
          <a:endParaRPr lang="en-US" sz="800"/>
        </a:p>
      </xdr:txBody>
    </xdr:sp>
    <xdr:clientData/>
  </xdr:twoCellAnchor>
  <xdr:twoCellAnchor>
    <xdr:from>
      <xdr:col>0</xdr:col>
      <xdr:colOff>46415</xdr:colOff>
      <xdr:row>45</xdr:row>
      <xdr:rowOff>46416</xdr:rowOff>
    </xdr:from>
    <xdr:to>
      <xdr:col>0</xdr:col>
      <xdr:colOff>795624</xdr:colOff>
      <xdr:row>46</xdr:row>
      <xdr:rowOff>733</xdr:rowOff>
    </xdr:to>
    <xdr:sp macro="[0]!Rectangle44_Click" textlink="">
      <xdr:nvSpPr>
        <xdr:cNvPr id="45" name="Rectangle 44">
          <a:extLst>
            <a:ext uri="{FF2B5EF4-FFF2-40B4-BE49-F238E27FC236}">
              <a16:creationId xmlns:a16="http://schemas.microsoft.com/office/drawing/2014/main" id="{00000000-0008-0000-0000-00002D000000}"/>
            </a:ext>
          </a:extLst>
        </xdr:cNvPr>
        <xdr:cNvSpPr/>
      </xdr:nvSpPr>
      <xdr:spPr>
        <a:xfrm>
          <a:off x="46415" y="1065411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44</a:t>
          </a:r>
          <a:endParaRPr lang="en-US" sz="800"/>
        </a:p>
      </xdr:txBody>
    </xdr:sp>
    <xdr:clientData/>
  </xdr:twoCellAnchor>
  <xdr:twoCellAnchor>
    <xdr:from>
      <xdr:col>0</xdr:col>
      <xdr:colOff>52628</xdr:colOff>
      <xdr:row>46</xdr:row>
      <xdr:rowOff>43493</xdr:rowOff>
    </xdr:from>
    <xdr:to>
      <xdr:col>0</xdr:col>
      <xdr:colOff>801837</xdr:colOff>
      <xdr:row>46</xdr:row>
      <xdr:rowOff>198817</xdr:rowOff>
    </xdr:to>
    <xdr:sp macro="[0]!Rectangle45_Click" textlink="">
      <xdr:nvSpPr>
        <xdr:cNvPr id="46" name="Rectangle 45">
          <a:extLst>
            <a:ext uri="{FF2B5EF4-FFF2-40B4-BE49-F238E27FC236}">
              <a16:creationId xmlns:a16="http://schemas.microsoft.com/office/drawing/2014/main" id="{00000000-0008-0000-0000-00002E000000}"/>
            </a:ext>
          </a:extLst>
        </xdr:cNvPr>
        <xdr:cNvSpPr/>
      </xdr:nvSpPr>
      <xdr:spPr>
        <a:xfrm>
          <a:off x="52628" y="1085219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45</a:t>
          </a:r>
          <a:endParaRPr lang="en-US" sz="800"/>
        </a:p>
      </xdr:txBody>
    </xdr:sp>
    <xdr:clientData/>
  </xdr:twoCellAnchor>
  <xdr:twoCellAnchor>
    <xdr:from>
      <xdr:col>0</xdr:col>
      <xdr:colOff>58841</xdr:colOff>
      <xdr:row>47</xdr:row>
      <xdr:rowOff>49706</xdr:rowOff>
    </xdr:from>
    <xdr:to>
      <xdr:col>0</xdr:col>
      <xdr:colOff>808050</xdr:colOff>
      <xdr:row>48</xdr:row>
      <xdr:rowOff>4023</xdr:rowOff>
    </xdr:to>
    <xdr:sp macro="[0]!Rectangle46_Click" textlink="">
      <xdr:nvSpPr>
        <xdr:cNvPr id="47" name="Rectangle 46">
          <a:extLst>
            <a:ext uri="{FF2B5EF4-FFF2-40B4-BE49-F238E27FC236}">
              <a16:creationId xmlns:a16="http://schemas.microsoft.com/office/drawing/2014/main" id="{00000000-0008-0000-0000-00002F000000}"/>
            </a:ext>
          </a:extLst>
        </xdr:cNvPr>
        <xdr:cNvSpPr/>
      </xdr:nvSpPr>
      <xdr:spPr>
        <a:xfrm>
          <a:off x="58841" y="1105941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46</a:t>
          </a:r>
          <a:endParaRPr lang="en-US" sz="800"/>
        </a:p>
      </xdr:txBody>
    </xdr:sp>
    <xdr:clientData/>
  </xdr:twoCellAnchor>
  <xdr:twoCellAnchor>
    <xdr:from>
      <xdr:col>0</xdr:col>
      <xdr:colOff>65054</xdr:colOff>
      <xdr:row>48</xdr:row>
      <xdr:rowOff>46782</xdr:rowOff>
    </xdr:from>
    <xdr:to>
      <xdr:col>0</xdr:col>
      <xdr:colOff>814263</xdr:colOff>
      <xdr:row>49</xdr:row>
      <xdr:rowOff>1098</xdr:rowOff>
    </xdr:to>
    <xdr:sp macro="[0]!Rectangle47_Click" textlink="">
      <xdr:nvSpPr>
        <xdr:cNvPr id="48" name="Rectangle 47">
          <a:extLst>
            <a:ext uri="{FF2B5EF4-FFF2-40B4-BE49-F238E27FC236}">
              <a16:creationId xmlns:a16="http://schemas.microsoft.com/office/drawing/2014/main" id="{00000000-0008-0000-0000-000030000000}"/>
            </a:ext>
          </a:extLst>
        </xdr:cNvPr>
        <xdr:cNvSpPr/>
      </xdr:nvSpPr>
      <xdr:spPr>
        <a:xfrm>
          <a:off x="65054" y="1125750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47</a:t>
          </a:r>
          <a:endParaRPr lang="en-US" sz="800"/>
        </a:p>
      </xdr:txBody>
    </xdr:sp>
    <xdr:clientData/>
  </xdr:twoCellAnchor>
  <xdr:twoCellAnchor>
    <xdr:from>
      <xdr:col>0</xdr:col>
      <xdr:colOff>62130</xdr:colOff>
      <xdr:row>49</xdr:row>
      <xdr:rowOff>43857</xdr:rowOff>
    </xdr:from>
    <xdr:to>
      <xdr:col>0</xdr:col>
      <xdr:colOff>811339</xdr:colOff>
      <xdr:row>49</xdr:row>
      <xdr:rowOff>199181</xdr:rowOff>
    </xdr:to>
    <xdr:sp macro="[0]!Rectangle48_Click" textlink="">
      <xdr:nvSpPr>
        <xdr:cNvPr id="49" name="Rectangle 48">
          <a:extLst>
            <a:ext uri="{FF2B5EF4-FFF2-40B4-BE49-F238E27FC236}">
              <a16:creationId xmlns:a16="http://schemas.microsoft.com/office/drawing/2014/main" id="{00000000-0008-0000-0000-000031000000}"/>
            </a:ext>
          </a:extLst>
        </xdr:cNvPr>
        <xdr:cNvSpPr/>
      </xdr:nvSpPr>
      <xdr:spPr>
        <a:xfrm>
          <a:off x="62130" y="1145558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48</a:t>
          </a:r>
          <a:endParaRPr lang="en-US" sz="800"/>
        </a:p>
      </xdr:txBody>
    </xdr:sp>
    <xdr:clientData/>
  </xdr:twoCellAnchor>
  <xdr:twoCellAnchor>
    <xdr:from>
      <xdr:col>0</xdr:col>
      <xdr:colOff>59206</xdr:colOff>
      <xdr:row>50</xdr:row>
      <xdr:rowOff>31796</xdr:rowOff>
    </xdr:from>
    <xdr:to>
      <xdr:col>0</xdr:col>
      <xdr:colOff>808415</xdr:colOff>
      <xdr:row>50</xdr:row>
      <xdr:rowOff>187120</xdr:rowOff>
    </xdr:to>
    <xdr:sp macro="[0]!Rectangle49_Click" textlink="">
      <xdr:nvSpPr>
        <xdr:cNvPr id="50" name="Rectangle 49">
          <a:extLst>
            <a:ext uri="{FF2B5EF4-FFF2-40B4-BE49-F238E27FC236}">
              <a16:creationId xmlns:a16="http://schemas.microsoft.com/office/drawing/2014/main" id="{00000000-0008-0000-0000-000032000000}"/>
            </a:ext>
          </a:extLst>
        </xdr:cNvPr>
        <xdr:cNvSpPr/>
      </xdr:nvSpPr>
      <xdr:spPr>
        <a:xfrm>
          <a:off x="59206" y="1164453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49</a:t>
          </a:r>
          <a:endParaRPr lang="en-US" sz="800"/>
        </a:p>
      </xdr:txBody>
    </xdr:sp>
    <xdr:clientData/>
  </xdr:twoCellAnchor>
  <xdr:twoCellAnchor>
    <xdr:from>
      <xdr:col>0</xdr:col>
      <xdr:colOff>49338</xdr:colOff>
      <xdr:row>44</xdr:row>
      <xdr:rowOff>31065</xdr:rowOff>
    </xdr:from>
    <xdr:to>
      <xdr:col>0</xdr:col>
      <xdr:colOff>798547</xdr:colOff>
      <xdr:row>44</xdr:row>
      <xdr:rowOff>186389</xdr:rowOff>
    </xdr:to>
    <xdr:sp macro="[0]!Rectangle50_Click" textlink="">
      <xdr:nvSpPr>
        <xdr:cNvPr id="51" name="Rectangle 50">
          <a:extLst>
            <a:ext uri="{FF2B5EF4-FFF2-40B4-BE49-F238E27FC236}">
              <a16:creationId xmlns:a16="http://schemas.microsoft.com/office/drawing/2014/main" id="{00000000-0008-0000-0000-000033000000}"/>
            </a:ext>
          </a:extLst>
        </xdr:cNvPr>
        <xdr:cNvSpPr/>
      </xdr:nvSpPr>
      <xdr:spPr>
        <a:xfrm>
          <a:off x="49338" y="1043775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43</a:t>
          </a:r>
          <a:endParaRPr lang="en-US" sz="800"/>
        </a:p>
      </xdr:txBody>
    </xdr:sp>
    <xdr:clientData/>
  </xdr:twoCellAnchor>
  <xdr:twoCellAnchor>
    <xdr:from>
      <xdr:col>0</xdr:col>
      <xdr:colOff>55916</xdr:colOff>
      <xdr:row>51</xdr:row>
      <xdr:rowOff>37643</xdr:rowOff>
    </xdr:from>
    <xdr:to>
      <xdr:col>0</xdr:col>
      <xdr:colOff>805125</xdr:colOff>
      <xdr:row>51</xdr:row>
      <xdr:rowOff>192967</xdr:rowOff>
    </xdr:to>
    <xdr:sp macro="[0]!Rectangle51_Click" textlink="">
      <xdr:nvSpPr>
        <xdr:cNvPr id="52" name="Rectangle 51">
          <a:extLst>
            <a:ext uri="{FF2B5EF4-FFF2-40B4-BE49-F238E27FC236}">
              <a16:creationId xmlns:a16="http://schemas.microsoft.com/office/drawing/2014/main" id="{00000000-0008-0000-0000-000034000000}"/>
            </a:ext>
          </a:extLst>
        </xdr:cNvPr>
        <xdr:cNvSpPr/>
      </xdr:nvSpPr>
      <xdr:spPr>
        <a:xfrm>
          <a:off x="55916" y="1185138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50</a:t>
          </a:r>
          <a:endParaRPr lang="en-US" sz="800"/>
        </a:p>
      </xdr:txBody>
    </xdr:sp>
    <xdr:clientData/>
  </xdr:twoCellAnchor>
  <xdr:twoCellAnchor>
    <xdr:from>
      <xdr:col>0</xdr:col>
      <xdr:colOff>52992</xdr:colOff>
      <xdr:row>52</xdr:row>
      <xdr:rowOff>34720</xdr:rowOff>
    </xdr:from>
    <xdr:to>
      <xdr:col>0</xdr:col>
      <xdr:colOff>802201</xdr:colOff>
      <xdr:row>52</xdr:row>
      <xdr:rowOff>190044</xdr:rowOff>
    </xdr:to>
    <xdr:sp macro="[0]!Rectangle52_Click" textlink="">
      <xdr:nvSpPr>
        <xdr:cNvPr id="53" name="Rectangle 52">
          <a:extLst>
            <a:ext uri="{FF2B5EF4-FFF2-40B4-BE49-F238E27FC236}">
              <a16:creationId xmlns:a16="http://schemas.microsoft.com/office/drawing/2014/main" id="{00000000-0008-0000-0000-000035000000}"/>
            </a:ext>
          </a:extLst>
        </xdr:cNvPr>
        <xdr:cNvSpPr/>
      </xdr:nvSpPr>
      <xdr:spPr>
        <a:xfrm>
          <a:off x="52992" y="1204946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51</a:t>
          </a:r>
          <a:endParaRPr lang="en-US" sz="800"/>
        </a:p>
      </xdr:txBody>
    </xdr:sp>
    <xdr:clientData/>
  </xdr:twoCellAnchor>
  <xdr:twoCellAnchor>
    <xdr:from>
      <xdr:col>0</xdr:col>
      <xdr:colOff>59205</xdr:colOff>
      <xdr:row>53</xdr:row>
      <xdr:rowOff>22660</xdr:rowOff>
    </xdr:from>
    <xdr:to>
      <xdr:col>0</xdr:col>
      <xdr:colOff>808414</xdr:colOff>
      <xdr:row>53</xdr:row>
      <xdr:rowOff>177984</xdr:rowOff>
    </xdr:to>
    <xdr:sp macro="[0]!Rectangle53_Click" textlink="">
      <xdr:nvSpPr>
        <xdr:cNvPr id="54" name="Rectangle 53">
          <a:extLst>
            <a:ext uri="{FF2B5EF4-FFF2-40B4-BE49-F238E27FC236}">
              <a16:creationId xmlns:a16="http://schemas.microsoft.com/office/drawing/2014/main" id="{00000000-0008-0000-0000-000036000000}"/>
            </a:ext>
          </a:extLst>
        </xdr:cNvPr>
        <xdr:cNvSpPr/>
      </xdr:nvSpPr>
      <xdr:spPr>
        <a:xfrm>
          <a:off x="59205" y="1223841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52</a:t>
          </a:r>
          <a:endParaRPr lang="en-US" sz="800"/>
        </a:p>
      </xdr:txBody>
    </xdr:sp>
    <xdr:clientData/>
  </xdr:twoCellAnchor>
  <xdr:twoCellAnchor>
    <xdr:from>
      <xdr:col>0</xdr:col>
      <xdr:colOff>43126</xdr:colOff>
      <xdr:row>55</xdr:row>
      <xdr:rowOff>52263</xdr:rowOff>
    </xdr:from>
    <xdr:to>
      <xdr:col>0</xdr:col>
      <xdr:colOff>792335</xdr:colOff>
      <xdr:row>56</xdr:row>
      <xdr:rowOff>6580</xdr:rowOff>
    </xdr:to>
    <xdr:sp macro="[0]!Rectangle54_Click" textlink="">
      <xdr:nvSpPr>
        <xdr:cNvPr id="55" name="Rectangle 54">
          <a:extLst>
            <a:ext uri="{FF2B5EF4-FFF2-40B4-BE49-F238E27FC236}">
              <a16:creationId xmlns:a16="http://schemas.microsoft.com/office/drawing/2014/main" id="{00000000-0008-0000-0000-000037000000}"/>
            </a:ext>
          </a:extLst>
        </xdr:cNvPr>
        <xdr:cNvSpPr/>
      </xdr:nvSpPr>
      <xdr:spPr>
        <a:xfrm>
          <a:off x="43126" y="1267003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54</a:t>
          </a:r>
          <a:endParaRPr lang="en-US" sz="800"/>
        </a:p>
      </xdr:txBody>
    </xdr:sp>
    <xdr:clientData/>
  </xdr:twoCellAnchor>
  <xdr:twoCellAnchor>
    <xdr:from>
      <xdr:col>0</xdr:col>
      <xdr:colOff>49339</xdr:colOff>
      <xdr:row>56</xdr:row>
      <xdr:rowOff>49340</xdr:rowOff>
    </xdr:from>
    <xdr:to>
      <xdr:col>0</xdr:col>
      <xdr:colOff>798548</xdr:colOff>
      <xdr:row>57</xdr:row>
      <xdr:rowOff>3657</xdr:rowOff>
    </xdr:to>
    <xdr:sp macro="[0]!Rectangle55_Click" textlink="">
      <xdr:nvSpPr>
        <xdr:cNvPr id="56" name="Rectangle 55">
          <a:extLst>
            <a:ext uri="{FF2B5EF4-FFF2-40B4-BE49-F238E27FC236}">
              <a16:creationId xmlns:a16="http://schemas.microsoft.com/office/drawing/2014/main" id="{00000000-0008-0000-0000-000038000000}"/>
            </a:ext>
          </a:extLst>
        </xdr:cNvPr>
        <xdr:cNvSpPr/>
      </xdr:nvSpPr>
      <xdr:spPr>
        <a:xfrm>
          <a:off x="49339" y="1286811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55</a:t>
          </a:r>
          <a:endParaRPr lang="en-US" sz="800"/>
        </a:p>
      </xdr:txBody>
    </xdr:sp>
    <xdr:clientData/>
  </xdr:twoCellAnchor>
  <xdr:twoCellAnchor>
    <xdr:from>
      <xdr:col>0</xdr:col>
      <xdr:colOff>55552</xdr:colOff>
      <xdr:row>57</xdr:row>
      <xdr:rowOff>55553</xdr:rowOff>
    </xdr:from>
    <xdr:to>
      <xdr:col>0</xdr:col>
      <xdr:colOff>804761</xdr:colOff>
      <xdr:row>58</xdr:row>
      <xdr:rowOff>9870</xdr:rowOff>
    </xdr:to>
    <xdr:sp macro="[0]!Rectangle56_Click" textlink="">
      <xdr:nvSpPr>
        <xdr:cNvPr id="57" name="Rectangle 56">
          <a:extLst>
            <a:ext uri="{FF2B5EF4-FFF2-40B4-BE49-F238E27FC236}">
              <a16:creationId xmlns:a16="http://schemas.microsoft.com/office/drawing/2014/main" id="{00000000-0008-0000-0000-000039000000}"/>
            </a:ext>
          </a:extLst>
        </xdr:cNvPr>
        <xdr:cNvSpPr/>
      </xdr:nvSpPr>
      <xdr:spPr>
        <a:xfrm>
          <a:off x="55552" y="1307533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56</a:t>
          </a:r>
          <a:endParaRPr lang="en-US" sz="800"/>
        </a:p>
      </xdr:txBody>
    </xdr:sp>
    <xdr:clientData/>
  </xdr:twoCellAnchor>
  <xdr:twoCellAnchor>
    <xdr:from>
      <xdr:col>0</xdr:col>
      <xdr:colOff>61765</xdr:colOff>
      <xdr:row>58</xdr:row>
      <xdr:rowOff>52629</xdr:rowOff>
    </xdr:from>
    <xdr:to>
      <xdr:col>0</xdr:col>
      <xdr:colOff>810974</xdr:colOff>
      <xdr:row>59</xdr:row>
      <xdr:rowOff>6945</xdr:rowOff>
    </xdr:to>
    <xdr:sp macro="[0]!Rectangle57_Click" textlink="">
      <xdr:nvSpPr>
        <xdr:cNvPr id="58" name="Rectangle 57">
          <a:extLst>
            <a:ext uri="{FF2B5EF4-FFF2-40B4-BE49-F238E27FC236}">
              <a16:creationId xmlns:a16="http://schemas.microsoft.com/office/drawing/2014/main" id="{00000000-0008-0000-0000-00003A000000}"/>
            </a:ext>
          </a:extLst>
        </xdr:cNvPr>
        <xdr:cNvSpPr/>
      </xdr:nvSpPr>
      <xdr:spPr>
        <a:xfrm>
          <a:off x="61765" y="1327342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57</a:t>
          </a:r>
          <a:endParaRPr lang="en-US" sz="800"/>
        </a:p>
      </xdr:txBody>
    </xdr:sp>
    <xdr:clientData/>
  </xdr:twoCellAnchor>
  <xdr:twoCellAnchor>
    <xdr:from>
      <xdr:col>0</xdr:col>
      <xdr:colOff>58841</xdr:colOff>
      <xdr:row>59</xdr:row>
      <xdr:rowOff>49704</xdr:rowOff>
    </xdr:from>
    <xdr:to>
      <xdr:col>0</xdr:col>
      <xdr:colOff>808050</xdr:colOff>
      <xdr:row>60</xdr:row>
      <xdr:rowOff>4021</xdr:rowOff>
    </xdr:to>
    <xdr:sp macro="[0]!Rectangle58_Click" textlink="">
      <xdr:nvSpPr>
        <xdr:cNvPr id="59" name="Rectangle 58">
          <a:extLst>
            <a:ext uri="{FF2B5EF4-FFF2-40B4-BE49-F238E27FC236}">
              <a16:creationId xmlns:a16="http://schemas.microsoft.com/office/drawing/2014/main" id="{00000000-0008-0000-0000-00003B000000}"/>
            </a:ext>
          </a:extLst>
        </xdr:cNvPr>
        <xdr:cNvSpPr/>
      </xdr:nvSpPr>
      <xdr:spPr>
        <a:xfrm>
          <a:off x="58841" y="1347150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58</a:t>
          </a:r>
          <a:endParaRPr lang="en-US" sz="800"/>
        </a:p>
      </xdr:txBody>
    </xdr:sp>
    <xdr:clientData/>
  </xdr:twoCellAnchor>
  <xdr:twoCellAnchor>
    <xdr:from>
      <xdr:col>0</xdr:col>
      <xdr:colOff>55917</xdr:colOff>
      <xdr:row>60</xdr:row>
      <xdr:rowOff>37643</xdr:rowOff>
    </xdr:from>
    <xdr:to>
      <xdr:col>0</xdr:col>
      <xdr:colOff>805126</xdr:colOff>
      <xdr:row>60</xdr:row>
      <xdr:rowOff>192967</xdr:rowOff>
    </xdr:to>
    <xdr:sp macro="[0]!Rectangle59_Click" textlink="">
      <xdr:nvSpPr>
        <xdr:cNvPr id="60" name="Rectangle 59">
          <a:extLst>
            <a:ext uri="{FF2B5EF4-FFF2-40B4-BE49-F238E27FC236}">
              <a16:creationId xmlns:a16="http://schemas.microsoft.com/office/drawing/2014/main" id="{00000000-0008-0000-0000-00003C000000}"/>
            </a:ext>
          </a:extLst>
        </xdr:cNvPr>
        <xdr:cNvSpPr/>
      </xdr:nvSpPr>
      <xdr:spPr>
        <a:xfrm>
          <a:off x="55917" y="1366044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59</a:t>
          </a:r>
          <a:endParaRPr lang="en-US" sz="800"/>
        </a:p>
      </xdr:txBody>
    </xdr:sp>
    <xdr:clientData/>
  </xdr:twoCellAnchor>
  <xdr:twoCellAnchor>
    <xdr:from>
      <xdr:col>0</xdr:col>
      <xdr:colOff>46049</xdr:colOff>
      <xdr:row>54</xdr:row>
      <xdr:rowOff>36912</xdr:rowOff>
    </xdr:from>
    <xdr:to>
      <xdr:col>0</xdr:col>
      <xdr:colOff>795258</xdr:colOff>
      <xdr:row>54</xdr:row>
      <xdr:rowOff>192236</xdr:rowOff>
    </xdr:to>
    <xdr:sp macro="[0]!Rectangle60_Click" textlink="">
      <xdr:nvSpPr>
        <xdr:cNvPr id="61" name="Rectangle 60">
          <a:extLst>
            <a:ext uri="{FF2B5EF4-FFF2-40B4-BE49-F238E27FC236}">
              <a16:creationId xmlns:a16="http://schemas.microsoft.com/office/drawing/2014/main" id="{00000000-0008-0000-0000-00003D000000}"/>
            </a:ext>
          </a:extLst>
        </xdr:cNvPr>
        <xdr:cNvSpPr/>
      </xdr:nvSpPr>
      <xdr:spPr>
        <a:xfrm>
          <a:off x="46049" y="1245367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53</a:t>
          </a:r>
          <a:endParaRPr lang="en-US" sz="800"/>
        </a:p>
      </xdr:txBody>
    </xdr:sp>
    <xdr:clientData/>
  </xdr:twoCellAnchor>
  <xdr:twoCellAnchor>
    <xdr:from>
      <xdr:col>0</xdr:col>
      <xdr:colOff>52992</xdr:colOff>
      <xdr:row>61</xdr:row>
      <xdr:rowOff>43856</xdr:rowOff>
    </xdr:from>
    <xdr:to>
      <xdr:col>0</xdr:col>
      <xdr:colOff>802201</xdr:colOff>
      <xdr:row>61</xdr:row>
      <xdr:rowOff>199180</xdr:rowOff>
    </xdr:to>
    <xdr:sp macro="[0]!Rectangle61_Click" textlink="">
      <xdr:nvSpPr>
        <xdr:cNvPr id="62" name="Rectangle 61">
          <a:extLst>
            <a:ext uri="{FF2B5EF4-FFF2-40B4-BE49-F238E27FC236}">
              <a16:creationId xmlns:a16="http://schemas.microsoft.com/office/drawing/2014/main" id="{00000000-0008-0000-0000-00003E000000}"/>
            </a:ext>
          </a:extLst>
        </xdr:cNvPr>
        <xdr:cNvSpPr/>
      </xdr:nvSpPr>
      <xdr:spPr>
        <a:xfrm>
          <a:off x="52992" y="1386766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60</a:t>
          </a:r>
          <a:endParaRPr lang="en-US" sz="800"/>
        </a:p>
      </xdr:txBody>
    </xdr:sp>
    <xdr:clientData/>
  </xdr:twoCellAnchor>
  <xdr:twoCellAnchor>
    <xdr:from>
      <xdr:col>0</xdr:col>
      <xdr:colOff>50068</xdr:colOff>
      <xdr:row>62</xdr:row>
      <xdr:rowOff>40933</xdr:rowOff>
    </xdr:from>
    <xdr:to>
      <xdr:col>0</xdr:col>
      <xdr:colOff>799277</xdr:colOff>
      <xdr:row>62</xdr:row>
      <xdr:rowOff>196257</xdr:rowOff>
    </xdr:to>
    <xdr:sp macro="[0]!Rectangle62_Click" textlink="">
      <xdr:nvSpPr>
        <xdr:cNvPr id="63" name="Rectangle 62">
          <a:extLst>
            <a:ext uri="{FF2B5EF4-FFF2-40B4-BE49-F238E27FC236}">
              <a16:creationId xmlns:a16="http://schemas.microsoft.com/office/drawing/2014/main" id="{00000000-0008-0000-0000-00003F000000}"/>
            </a:ext>
          </a:extLst>
        </xdr:cNvPr>
        <xdr:cNvSpPr/>
      </xdr:nvSpPr>
      <xdr:spPr>
        <a:xfrm>
          <a:off x="50068" y="1406575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61</a:t>
          </a:r>
          <a:endParaRPr lang="en-US" sz="800"/>
        </a:p>
      </xdr:txBody>
    </xdr:sp>
    <xdr:clientData/>
  </xdr:twoCellAnchor>
  <xdr:twoCellAnchor>
    <xdr:from>
      <xdr:col>0</xdr:col>
      <xdr:colOff>56281</xdr:colOff>
      <xdr:row>63</xdr:row>
      <xdr:rowOff>28873</xdr:rowOff>
    </xdr:from>
    <xdr:to>
      <xdr:col>0</xdr:col>
      <xdr:colOff>805490</xdr:colOff>
      <xdr:row>63</xdr:row>
      <xdr:rowOff>184197</xdr:rowOff>
    </xdr:to>
    <xdr:sp macro="[0]!Rectangle63_Click" textlink="">
      <xdr:nvSpPr>
        <xdr:cNvPr id="64" name="Rectangle 63">
          <a:extLst>
            <a:ext uri="{FF2B5EF4-FFF2-40B4-BE49-F238E27FC236}">
              <a16:creationId xmlns:a16="http://schemas.microsoft.com/office/drawing/2014/main" id="{00000000-0008-0000-0000-000040000000}"/>
            </a:ext>
          </a:extLst>
        </xdr:cNvPr>
        <xdr:cNvSpPr/>
      </xdr:nvSpPr>
      <xdr:spPr>
        <a:xfrm>
          <a:off x="56281" y="1425470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62</a:t>
          </a:r>
          <a:endParaRPr lang="en-US" sz="800"/>
        </a:p>
      </xdr:txBody>
    </xdr:sp>
    <xdr:clientData/>
  </xdr:twoCellAnchor>
  <xdr:twoCellAnchor>
    <xdr:from>
      <xdr:col>0</xdr:col>
      <xdr:colOff>40202</xdr:colOff>
      <xdr:row>65</xdr:row>
      <xdr:rowOff>58476</xdr:rowOff>
    </xdr:from>
    <xdr:to>
      <xdr:col>0</xdr:col>
      <xdr:colOff>789411</xdr:colOff>
      <xdr:row>66</xdr:row>
      <xdr:rowOff>12793</xdr:rowOff>
    </xdr:to>
    <xdr:sp macro="[0]!Rectangle64_Click" textlink="">
      <xdr:nvSpPr>
        <xdr:cNvPr id="65" name="Rectangle 64">
          <a:extLst>
            <a:ext uri="{FF2B5EF4-FFF2-40B4-BE49-F238E27FC236}">
              <a16:creationId xmlns:a16="http://schemas.microsoft.com/office/drawing/2014/main" id="{00000000-0008-0000-0000-000041000000}"/>
            </a:ext>
          </a:extLst>
        </xdr:cNvPr>
        <xdr:cNvSpPr/>
      </xdr:nvSpPr>
      <xdr:spPr>
        <a:xfrm>
          <a:off x="40202" y="1468631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64</a:t>
          </a:r>
          <a:endParaRPr lang="en-US" sz="800"/>
        </a:p>
      </xdr:txBody>
    </xdr:sp>
    <xdr:clientData/>
  </xdr:twoCellAnchor>
  <xdr:twoCellAnchor>
    <xdr:from>
      <xdr:col>0</xdr:col>
      <xdr:colOff>46415</xdr:colOff>
      <xdr:row>66</xdr:row>
      <xdr:rowOff>55553</xdr:rowOff>
    </xdr:from>
    <xdr:to>
      <xdr:col>0</xdr:col>
      <xdr:colOff>795624</xdr:colOff>
      <xdr:row>67</xdr:row>
      <xdr:rowOff>9870</xdr:rowOff>
    </xdr:to>
    <xdr:sp macro="[0]!Rectangle65_Click" textlink="">
      <xdr:nvSpPr>
        <xdr:cNvPr id="66" name="Rectangle 65">
          <a:extLst>
            <a:ext uri="{FF2B5EF4-FFF2-40B4-BE49-F238E27FC236}">
              <a16:creationId xmlns:a16="http://schemas.microsoft.com/office/drawing/2014/main" id="{00000000-0008-0000-0000-000042000000}"/>
            </a:ext>
          </a:extLst>
        </xdr:cNvPr>
        <xdr:cNvSpPr/>
      </xdr:nvSpPr>
      <xdr:spPr>
        <a:xfrm>
          <a:off x="46415" y="1488440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65</a:t>
          </a:r>
          <a:endParaRPr lang="en-US" sz="800"/>
        </a:p>
      </xdr:txBody>
    </xdr:sp>
    <xdr:clientData/>
  </xdr:twoCellAnchor>
  <xdr:twoCellAnchor>
    <xdr:from>
      <xdr:col>0</xdr:col>
      <xdr:colOff>52628</xdr:colOff>
      <xdr:row>67</xdr:row>
      <xdr:rowOff>61766</xdr:rowOff>
    </xdr:from>
    <xdr:to>
      <xdr:col>0</xdr:col>
      <xdr:colOff>801837</xdr:colOff>
      <xdr:row>68</xdr:row>
      <xdr:rowOff>16083</xdr:rowOff>
    </xdr:to>
    <xdr:sp macro="[0]!Rectangle66_Click" textlink="">
      <xdr:nvSpPr>
        <xdr:cNvPr id="67" name="Rectangle 66">
          <a:extLst>
            <a:ext uri="{FF2B5EF4-FFF2-40B4-BE49-F238E27FC236}">
              <a16:creationId xmlns:a16="http://schemas.microsoft.com/office/drawing/2014/main" id="{00000000-0008-0000-0000-000043000000}"/>
            </a:ext>
          </a:extLst>
        </xdr:cNvPr>
        <xdr:cNvSpPr/>
      </xdr:nvSpPr>
      <xdr:spPr>
        <a:xfrm>
          <a:off x="52628" y="1509162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66</a:t>
          </a:r>
          <a:endParaRPr lang="en-US" sz="800"/>
        </a:p>
      </xdr:txBody>
    </xdr:sp>
    <xdr:clientData/>
  </xdr:twoCellAnchor>
  <xdr:twoCellAnchor>
    <xdr:from>
      <xdr:col>0</xdr:col>
      <xdr:colOff>58841</xdr:colOff>
      <xdr:row>68</xdr:row>
      <xdr:rowOff>58842</xdr:rowOff>
    </xdr:from>
    <xdr:to>
      <xdr:col>0</xdr:col>
      <xdr:colOff>808050</xdr:colOff>
      <xdr:row>69</xdr:row>
      <xdr:rowOff>13158</xdr:rowOff>
    </xdr:to>
    <xdr:sp macro="[0]!Rectangle67_Click" textlink="">
      <xdr:nvSpPr>
        <xdr:cNvPr id="68" name="Rectangle 67">
          <a:extLst>
            <a:ext uri="{FF2B5EF4-FFF2-40B4-BE49-F238E27FC236}">
              <a16:creationId xmlns:a16="http://schemas.microsoft.com/office/drawing/2014/main" id="{00000000-0008-0000-0000-000044000000}"/>
            </a:ext>
          </a:extLst>
        </xdr:cNvPr>
        <xdr:cNvSpPr/>
      </xdr:nvSpPr>
      <xdr:spPr>
        <a:xfrm>
          <a:off x="58841" y="1528970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67</a:t>
          </a:r>
          <a:endParaRPr lang="en-US" sz="800"/>
        </a:p>
      </xdr:txBody>
    </xdr:sp>
    <xdr:clientData/>
  </xdr:twoCellAnchor>
  <xdr:twoCellAnchor>
    <xdr:from>
      <xdr:col>0</xdr:col>
      <xdr:colOff>55917</xdr:colOff>
      <xdr:row>69</xdr:row>
      <xdr:rowOff>55917</xdr:rowOff>
    </xdr:from>
    <xdr:to>
      <xdr:col>0</xdr:col>
      <xdr:colOff>805126</xdr:colOff>
      <xdr:row>70</xdr:row>
      <xdr:rowOff>10234</xdr:rowOff>
    </xdr:to>
    <xdr:sp macro="[0]!Rectangle68_Click" textlink="">
      <xdr:nvSpPr>
        <xdr:cNvPr id="69" name="Rectangle 68">
          <a:extLst>
            <a:ext uri="{FF2B5EF4-FFF2-40B4-BE49-F238E27FC236}">
              <a16:creationId xmlns:a16="http://schemas.microsoft.com/office/drawing/2014/main" id="{00000000-0008-0000-0000-000045000000}"/>
            </a:ext>
          </a:extLst>
        </xdr:cNvPr>
        <xdr:cNvSpPr/>
      </xdr:nvSpPr>
      <xdr:spPr>
        <a:xfrm>
          <a:off x="55917" y="1548778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68</a:t>
          </a:r>
          <a:endParaRPr lang="en-US" sz="800"/>
        </a:p>
      </xdr:txBody>
    </xdr:sp>
    <xdr:clientData/>
  </xdr:twoCellAnchor>
  <xdr:twoCellAnchor>
    <xdr:from>
      <xdr:col>0</xdr:col>
      <xdr:colOff>52993</xdr:colOff>
      <xdr:row>70</xdr:row>
      <xdr:rowOff>43856</xdr:rowOff>
    </xdr:from>
    <xdr:to>
      <xdr:col>0</xdr:col>
      <xdr:colOff>802202</xdr:colOff>
      <xdr:row>70</xdr:row>
      <xdr:rowOff>199180</xdr:rowOff>
    </xdr:to>
    <xdr:sp macro="[0]!Rectangle69_Click" textlink="">
      <xdr:nvSpPr>
        <xdr:cNvPr id="70" name="Rectangle 69">
          <a:extLst>
            <a:ext uri="{FF2B5EF4-FFF2-40B4-BE49-F238E27FC236}">
              <a16:creationId xmlns:a16="http://schemas.microsoft.com/office/drawing/2014/main" id="{00000000-0008-0000-0000-000046000000}"/>
            </a:ext>
          </a:extLst>
        </xdr:cNvPr>
        <xdr:cNvSpPr/>
      </xdr:nvSpPr>
      <xdr:spPr>
        <a:xfrm>
          <a:off x="52993" y="1567673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69</a:t>
          </a:r>
          <a:endParaRPr lang="en-US" sz="800"/>
        </a:p>
      </xdr:txBody>
    </xdr:sp>
    <xdr:clientData/>
  </xdr:twoCellAnchor>
  <xdr:twoCellAnchor>
    <xdr:from>
      <xdr:col>0</xdr:col>
      <xdr:colOff>43125</xdr:colOff>
      <xdr:row>64</xdr:row>
      <xdr:rowOff>43125</xdr:rowOff>
    </xdr:from>
    <xdr:to>
      <xdr:col>0</xdr:col>
      <xdr:colOff>792334</xdr:colOff>
      <xdr:row>64</xdr:row>
      <xdr:rowOff>198449</xdr:rowOff>
    </xdr:to>
    <xdr:sp macro="[0]!Rectangle70_Click" textlink="">
      <xdr:nvSpPr>
        <xdr:cNvPr id="71" name="Rectangle 70">
          <a:extLst>
            <a:ext uri="{FF2B5EF4-FFF2-40B4-BE49-F238E27FC236}">
              <a16:creationId xmlns:a16="http://schemas.microsoft.com/office/drawing/2014/main" id="{00000000-0008-0000-0000-000047000000}"/>
            </a:ext>
          </a:extLst>
        </xdr:cNvPr>
        <xdr:cNvSpPr/>
      </xdr:nvSpPr>
      <xdr:spPr>
        <a:xfrm>
          <a:off x="43125" y="1446996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63</a:t>
          </a:r>
          <a:endParaRPr lang="en-US" sz="800"/>
        </a:p>
      </xdr:txBody>
    </xdr:sp>
    <xdr:clientData/>
  </xdr:twoCellAnchor>
  <xdr:twoCellAnchor>
    <xdr:from>
      <xdr:col>0</xdr:col>
      <xdr:colOff>50068</xdr:colOff>
      <xdr:row>71</xdr:row>
      <xdr:rowOff>40933</xdr:rowOff>
    </xdr:from>
    <xdr:to>
      <xdr:col>0</xdr:col>
      <xdr:colOff>799277</xdr:colOff>
      <xdr:row>71</xdr:row>
      <xdr:rowOff>196257</xdr:rowOff>
    </xdr:to>
    <xdr:sp macro="[0]!Rectangle71_Click" textlink="">
      <xdr:nvSpPr>
        <xdr:cNvPr id="72" name="Rectangle 71">
          <a:extLst>
            <a:ext uri="{FF2B5EF4-FFF2-40B4-BE49-F238E27FC236}">
              <a16:creationId xmlns:a16="http://schemas.microsoft.com/office/drawing/2014/main" id="{00000000-0008-0000-0000-000048000000}"/>
            </a:ext>
          </a:extLst>
        </xdr:cNvPr>
        <xdr:cNvSpPr/>
      </xdr:nvSpPr>
      <xdr:spPr>
        <a:xfrm>
          <a:off x="50068" y="1587481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70</a:t>
          </a:r>
          <a:endParaRPr lang="en-US" sz="800"/>
        </a:p>
      </xdr:txBody>
    </xdr:sp>
    <xdr:clientData/>
  </xdr:twoCellAnchor>
  <xdr:twoCellAnchor>
    <xdr:from>
      <xdr:col>0</xdr:col>
      <xdr:colOff>47144</xdr:colOff>
      <xdr:row>72</xdr:row>
      <xdr:rowOff>38010</xdr:rowOff>
    </xdr:from>
    <xdr:to>
      <xdr:col>0</xdr:col>
      <xdr:colOff>796353</xdr:colOff>
      <xdr:row>72</xdr:row>
      <xdr:rowOff>193334</xdr:rowOff>
    </xdr:to>
    <xdr:sp macro="[0]!Rectangle72_Click" textlink="">
      <xdr:nvSpPr>
        <xdr:cNvPr id="73" name="Rectangle 72">
          <a:extLst>
            <a:ext uri="{FF2B5EF4-FFF2-40B4-BE49-F238E27FC236}">
              <a16:creationId xmlns:a16="http://schemas.microsoft.com/office/drawing/2014/main" id="{00000000-0008-0000-0000-000049000000}"/>
            </a:ext>
          </a:extLst>
        </xdr:cNvPr>
        <xdr:cNvSpPr/>
      </xdr:nvSpPr>
      <xdr:spPr>
        <a:xfrm>
          <a:off x="47144" y="1607290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71</a:t>
          </a:r>
          <a:endParaRPr lang="en-US" sz="800"/>
        </a:p>
      </xdr:txBody>
    </xdr:sp>
    <xdr:clientData/>
  </xdr:twoCellAnchor>
  <xdr:twoCellAnchor>
    <xdr:from>
      <xdr:col>0</xdr:col>
      <xdr:colOff>53357</xdr:colOff>
      <xdr:row>73</xdr:row>
      <xdr:rowOff>25950</xdr:rowOff>
    </xdr:from>
    <xdr:to>
      <xdr:col>0</xdr:col>
      <xdr:colOff>802566</xdr:colOff>
      <xdr:row>73</xdr:row>
      <xdr:rowOff>181274</xdr:rowOff>
    </xdr:to>
    <xdr:sp macro="[0]!Rectangle73_Click" textlink="">
      <xdr:nvSpPr>
        <xdr:cNvPr id="74" name="Rectangle 73">
          <a:extLst>
            <a:ext uri="{FF2B5EF4-FFF2-40B4-BE49-F238E27FC236}">
              <a16:creationId xmlns:a16="http://schemas.microsoft.com/office/drawing/2014/main" id="{00000000-0008-0000-0000-00004A000000}"/>
            </a:ext>
          </a:extLst>
        </xdr:cNvPr>
        <xdr:cNvSpPr/>
      </xdr:nvSpPr>
      <xdr:spPr>
        <a:xfrm>
          <a:off x="53357" y="1626184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72</a:t>
          </a:r>
          <a:endParaRPr lang="en-US" sz="800"/>
        </a:p>
      </xdr:txBody>
    </xdr:sp>
    <xdr:clientData/>
  </xdr:twoCellAnchor>
  <xdr:twoCellAnchor>
    <xdr:from>
      <xdr:col>0</xdr:col>
      <xdr:colOff>37278</xdr:colOff>
      <xdr:row>75</xdr:row>
      <xdr:rowOff>55553</xdr:rowOff>
    </xdr:from>
    <xdr:to>
      <xdr:col>0</xdr:col>
      <xdr:colOff>786487</xdr:colOff>
      <xdr:row>76</xdr:row>
      <xdr:rowOff>9870</xdr:rowOff>
    </xdr:to>
    <xdr:sp macro="[0]!Rectangle74_Click" textlink="">
      <xdr:nvSpPr>
        <xdr:cNvPr id="75" name="Rectangle 74">
          <a:extLst>
            <a:ext uri="{FF2B5EF4-FFF2-40B4-BE49-F238E27FC236}">
              <a16:creationId xmlns:a16="http://schemas.microsoft.com/office/drawing/2014/main" id="{00000000-0008-0000-0000-00004B000000}"/>
            </a:ext>
          </a:extLst>
        </xdr:cNvPr>
        <xdr:cNvSpPr/>
      </xdr:nvSpPr>
      <xdr:spPr>
        <a:xfrm>
          <a:off x="37278" y="1669346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74</a:t>
          </a:r>
          <a:endParaRPr lang="en-US" sz="800"/>
        </a:p>
      </xdr:txBody>
    </xdr:sp>
    <xdr:clientData/>
  </xdr:twoCellAnchor>
  <xdr:twoCellAnchor>
    <xdr:from>
      <xdr:col>0</xdr:col>
      <xdr:colOff>43491</xdr:colOff>
      <xdr:row>76</xdr:row>
      <xdr:rowOff>52630</xdr:rowOff>
    </xdr:from>
    <xdr:to>
      <xdr:col>0</xdr:col>
      <xdr:colOff>792700</xdr:colOff>
      <xdr:row>77</xdr:row>
      <xdr:rowOff>6947</xdr:rowOff>
    </xdr:to>
    <xdr:sp macro="[0]!Rectangle75_Click" textlink="">
      <xdr:nvSpPr>
        <xdr:cNvPr id="76" name="Rectangle 75">
          <a:extLst>
            <a:ext uri="{FF2B5EF4-FFF2-40B4-BE49-F238E27FC236}">
              <a16:creationId xmlns:a16="http://schemas.microsoft.com/office/drawing/2014/main" id="{00000000-0008-0000-0000-00004C000000}"/>
            </a:ext>
          </a:extLst>
        </xdr:cNvPr>
        <xdr:cNvSpPr/>
      </xdr:nvSpPr>
      <xdr:spPr>
        <a:xfrm>
          <a:off x="43491" y="1689155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75</a:t>
          </a:r>
          <a:endParaRPr lang="en-US" sz="800"/>
        </a:p>
      </xdr:txBody>
    </xdr:sp>
    <xdr:clientData/>
  </xdr:twoCellAnchor>
  <xdr:twoCellAnchor>
    <xdr:from>
      <xdr:col>0</xdr:col>
      <xdr:colOff>49704</xdr:colOff>
      <xdr:row>77</xdr:row>
      <xdr:rowOff>58843</xdr:rowOff>
    </xdr:from>
    <xdr:to>
      <xdr:col>0</xdr:col>
      <xdr:colOff>798913</xdr:colOff>
      <xdr:row>78</xdr:row>
      <xdr:rowOff>13160</xdr:rowOff>
    </xdr:to>
    <xdr:sp macro="[0]!Rectangle76_Click" textlink="">
      <xdr:nvSpPr>
        <xdr:cNvPr id="77" name="Rectangle 76">
          <a:extLst>
            <a:ext uri="{FF2B5EF4-FFF2-40B4-BE49-F238E27FC236}">
              <a16:creationId xmlns:a16="http://schemas.microsoft.com/office/drawing/2014/main" id="{00000000-0008-0000-0000-00004D000000}"/>
            </a:ext>
          </a:extLst>
        </xdr:cNvPr>
        <xdr:cNvSpPr/>
      </xdr:nvSpPr>
      <xdr:spPr>
        <a:xfrm>
          <a:off x="49704" y="1709877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76</a:t>
          </a:r>
          <a:endParaRPr lang="en-US" sz="800"/>
        </a:p>
      </xdr:txBody>
    </xdr:sp>
    <xdr:clientData/>
  </xdr:twoCellAnchor>
  <xdr:twoCellAnchor>
    <xdr:from>
      <xdr:col>0</xdr:col>
      <xdr:colOff>55917</xdr:colOff>
      <xdr:row>78</xdr:row>
      <xdr:rowOff>55919</xdr:rowOff>
    </xdr:from>
    <xdr:to>
      <xdr:col>0</xdr:col>
      <xdr:colOff>805126</xdr:colOff>
      <xdr:row>79</xdr:row>
      <xdr:rowOff>10236</xdr:rowOff>
    </xdr:to>
    <xdr:sp macro="[0]!Rectangle77_Click" textlink="">
      <xdr:nvSpPr>
        <xdr:cNvPr id="78" name="Rectangle 77">
          <a:extLst>
            <a:ext uri="{FF2B5EF4-FFF2-40B4-BE49-F238E27FC236}">
              <a16:creationId xmlns:a16="http://schemas.microsoft.com/office/drawing/2014/main" id="{00000000-0008-0000-0000-00004E000000}"/>
            </a:ext>
          </a:extLst>
        </xdr:cNvPr>
        <xdr:cNvSpPr/>
      </xdr:nvSpPr>
      <xdr:spPr>
        <a:xfrm>
          <a:off x="55917" y="1729685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77</a:t>
          </a:r>
          <a:endParaRPr lang="en-US" sz="800"/>
        </a:p>
      </xdr:txBody>
    </xdr:sp>
    <xdr:clientData/>
  </xdr:twoCellAnchor>
  <xdr:twoCellAnchor>
    <xdr:from>
      <xdr:col>0</xdr:col>
      <xdr:colOff>52993</xdr:colOff>
      <xdr:row>79</xdr:row>
      <xdr:rowOff>52995</xdr:rowOff>
    </xdr:from>
    <xdr:to>
      <xdr:col>0</xdr:col>
      <xdr:colOff>802202</xdr:colOff>
      <xdr:row>80</xdr:row>
      <xdr:rowOff>7311</xdr:rowOff>
    </xdr:to>
    <xdr:sp macro="[0]!Rectangle78_Click" textlink="">
      <xdr:nvSpPr>
        <xdr:cNvPr id="79" name="Rectangle 78">
          <a:extLst>
            <a:ext uri="{FF2B5EF4-FFF2-40B4-BE49-F238E27FC236}">
              <a16:creationId xmlns:a16="http://schemas.microsoft.com/office/drawing/2014/main" id="{00000000-0008-0000-0000-00004F000000}"/>
            </a:ext>
          </a:extLst>
        </xdr:cNvPr>
        <xdr:cNvSpPr/>
      </xdr:nvSpPr>
      <xdr:spPr>
        <a:xfrm>
          <a:off x="52993" y="1749493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78</a:t>
          </a:r>
          <a:endParaRPr lang="en-US" sz="800"/>
        </a:p>
      </xdr:txBody>
    </xdr:sp>
    <xdr:clientData/>
  </xdr:twoCellAnchor>
  <xdr:twoCellAnchor>
    <xdr:from>
      <xdr:col>0</xdr:col>
      <xdr:colOff>50069</xdr:colOff>
      <xdr:row>80</xdr:row>
      <xdr:rowOff>40933</xdr:rowOff>
    </xdr:from>
    <xdr:to>
      <xdr:col>0</xdr:col>
      <xdr:colOff>799278</xdr:colOff>
      <xdr:row>80</xdr:row>
      <xdr:rowOff>196257</xdr:rowOff>
    </xdr:to>
    <xdr:sp macro="[0]!Rectangle79_Click" textlink="">
      <xdr:nvSpPr>
        <xdr:cNvPr id="80" name="Rectangle 79">
          <a:extLst>
            <a:ext uri="{FF2B5EF4-FFF2-40B4-BE49-F238E27FC236}">
              <a16:creationId xmlns:a16="http://schemas.microsoft.com/office/drawing/2014/main" id="{00000000-0008-0000-0000-000050000000}"/>
            </a:ext>
          </a:extLst>
        </xdr:cNvPr>
        <xdr:cNvSpPr/>
      </xdr:nvSpPr>
      <xdr:spPr>
        <a:xfrm>
          <a:off x="50069" y="1768388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79</a:t>
          </a:r>
          <a:endParaRPr lang="en-US" sz="800"/>
        </a:p>
      </xdr:txBody>
    </xdr:sp>
    <xdr:clientData/>
  </xdr:twoCellAnchor>
  <xdr:twoCellAnchor>
    <xdr:from>
      <xdr:col>0</xdr:col>
      <xdr:colOff>40201</xdr:colOff>
      <xdr:row>74</xdr:row>
      <xdr:rowOff>40203</xdr:rowOff>
    </xdr:from>
    <xdr:to>
      <xdr:col>0</xdr:col>
      <xdr:colOff>789410</xdr:colOff>
      <xdr:row>74</xdr:row>
      <xdr:rowOff>195527</xdr:rowOff>
    </xdr:to>
    <xdr:sp macro="[0]!Rectangle80_Click" textlink="">
      <xdr:nvSpPr>
        <xdr:cNvPr id="81" name="Rectangle 80">
          <a:extLst>
            <a:ext uri="{FF2B5EF4-FFF2-40B4-BE49-F238E27FC236}">
              <a16:creationId xmlns:a16="http://schemas.microsoft.com/office/drawing/2014/main" id="{00000000-0008-0000-0000-000051000000}"/>
            </a:ext>
          </a:extLst>
        </xdr:cNvPr>
        <xdr:cNvSpPr/>
      </xdr:nvSpPr>
      <xdr:spPr>
        <a:xfrm>
          <a:off x="40201" y="1647710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73</a:t>
          </a:r>
          <a:endParaRPr lang="en-US" sz="800"/>
        </a:p>
      </xdr:txBody>
    </xdr:sp>
    <xdr:clientData/>
  </xdr:twoCellAnchor>
  <xdr:twoCellAnchor>
    <xdr:from>
      <xdr:col>0</xdr:col>
      <xdr:colOff>47145</xdr:colOff>
      <xdr:row>81</xdr:row>
      <xdr:rowOff>47146</xdr:rowOff>
    </xdr:from>
    <xdr:to>
      <xdr:col>0</xdr:col>
      <xdr:colOff>796354</xdr:colOff>
      <xdr:row>82</xdr:row>
      <xdr:rowOff>1463</xdr:rowOff>
    </xdr:to>
    <xdr:sp macro="[0]!Rectangle81_Click" textlink="">
      <xdr:nvSpPr>
        <xdr:cNvPr id="82" name="Rectangle 81">
          <a:extLst>
            <a:ext uri="{FF2B5EF4-FFF2-40B4-BE49-F238E27FC236}">
              <a16:creationId xmlns:a16="http://schemas.microsoft.com/office/drawing/2014/main" id="{00000000-0008-0000-0000-000052000000}"/>
            </a:ext>
          </a:extLst>
        </xdr:cNvPr>
        <xdr:cNvSpPr/>
      </xdr:nvSpPr>
      <xdr:spPr>
        <a:xfrm>
          <a:off x="47145" y="1789110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80</a:t>
          </a:r>
          <a:endParaRPr lang="en-US" sz="800"/>
        </a:p>
      </xdr:txBody>
    </xdr:sp>
    <xdr:clientData/>
  </xdr:twoCellAnchor>
  <xdr:twoCellAnchor>
    <xdr:from>
      <xdr:col>0</xdr:col>
      <xdr:colOff>44221</xdr:colOff>
      <xdr:row>82</xdr:row>
      <xdr:rowOff>44223</xdr:rowOff>
    </xdr:from>
    <xdr:to>
      <xdr:col>0</xdr:col>
      <xdr:colOff>793430</xdr:colOff>
      <xdr:row>82</xdr:row>
      <xdr:rowOff>199547</xdr:rowOff>
    </xdr:to>
    <xdr:sp macro="[0]!Rectangle82_Click" textlink="">
      <xdr:nvSpPr>
        <xdr:cNvPr id="83" name="Rectangle 82">
          <a:extLst>
            <a:ext uri="{FF2B5EF4-FFF2-40B4-BE49-F238E27FC236}">
              <a16:creationId xmlns:a16="http://schemas.microsoft.com/office/drawing/2014/main" id="{00000000-0008-0000-0000-000053000000}"/>
            </a:ext>
          </a:extLst>
        </xdr:cNvPr>
        <xdr:cNvSpPr/>
      </xdr:nvSpPr>
      <xdr:spPr>
        <a:xfrm>
          <a:off x="44221" y="1808918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81</a:t>
          </a:r>
          <a:endParaRPr lang="en-US" sz="800"/>
        </a:p>
      </xdr:txBody>
    </xdr:sp>
    <xdr:clientData/>
  </xdr:twoCellAnchor>
  <xdr:twoCellAnchor>
    <xdr:from>
      <xdr:col>0</xdr:col>
      <xdr:colOff>50434</xdr:colOff>
      <xdr:row>83</xdr:row>
      <xdr:rowOff>32163</xdr:rowOff>
    </xdr:from>
    <xdr:to>
      <xdr:col>0</xdr:col>
      <xdr:colOff>799643</xdr:colOff>
      <xdr:row>83</xdr:row>
      <xdr:rowOff>187487</xdr:rowOff>
    </xdr:to>
    <xdr:sp macro="[0]!Rectangle83_Click" textlink="">
      <xdr:nvSpPr>
        <xdr:cNvPr id="84" name="Rectangle 83">
          <a:extLst>
            <a:ext uri="{FF2B5EF4-FFF2-40B4-BE49-F238E27FC236}">
              <a16:creationId xmlns:a16="http://schemas.microsoft.com/office/drawing/2014/main" id="{00000000-0008-0000-0000-000054000000}"/>
            </a:ext>
          </a:extLst>
        </xdr:cNvPr>
        <xdr:cNvSpPr/>
      </xdr:nvSpPr>
      <xdr:spPr>
        <a:xfrm>
          <a:off x="50434" y="1827813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82</a:t>
          </a:r>
          <a:endParaRPr lang="en-US" sz="800"/>
        </a:p>
      </xdr:txBody>
    </xdr:sp>
    <xdr:clientData/>
  </xdr:twoCellAnchor>
  <xdr:twoCellAnchor>
    <xdr:from>
      <xdr:col>0</xdr:col>
      <xdr:colOff>34355</xdr:colOff>
      <xdr:row>85</xdr:row>
      <xdr:rowOff>61766</xdr:rowOff>
    </xdr:from>
    <xdr:to>
      <xdr:col>0</xdr:col>
      <xdr:colOff>783564</xdr:colOff>
      <xdr:row>86</xdr:row>
      <xdr:rowOff>16083</xdr:rowOff>
    </xdr:to>
    <xdr:sp macro="[0]!Rectangle84_Click" textlink="">
      <xdr:nvSpPr>
        <xdr:cNvPr id="85" name="Rectangle 84">
          <a:extLst>
            <a:ext uri="{FF2B5EF4-FFF2-40B4-BE49-F238E27FC236}">
              <a16:creationId xmlns:a16="http://schemas.microsoft.com/office/drawing/2014/main" id="{00000000-0008-0000-0000-000055000000}"/>
            </a:ext>
          </a:extLst>
        </xdr:cNvPr>
        <xdr:cNvSpPr/>
      </xdr:nvSpPr>
      <xdr:spPr>
        <a:xfrm>
          <a:off x="34355" y="1870975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84</a:t>
          </a:r>
          <a:endParaRPr lang="en-US" sz="800"/>
        </a:p>
      </xdr:txBody>
    </xdr:sp>
    <xdr:clientData/>
  </xdr:twoCellAnchor>
  <xdr:twoCellAnchor>
    <xdr:from>
      <xdr:col>0</xdr:col>
      <xdr:colOff>40568</xdr:colOff>
      <xdr:row>86</xdr:row>
      <xdr:rowOff>58843</xdr:rowOff>
    </xdr:from>
    <xdr:to>
      <xdr:col>0</xdr:col>
      <xdr:colOff>789777</xdr:colOff>
      <xdr:row>87</xdr:row>
      <xdr:rowOff>13160</xdr:rowOff>
    </xdr:to>
    <xdr:sp macro="[0]!Rectangle85_Click" textlink="">
      <xdr:nvSpPr>
        <xdr:cNvPr id="86" name="Rectangle 85">
          <a:extLst>
            <a:ext uri="{FF2B5EF4-FFF2-40B4-BE49-F238E27FC236}">
              <a16:creationId xmlns:a16="http://schemas.microsoft.com/office/drawing/2014/main" id="{00000000-0008-0000-0000-000056000000}"/>
            </a:ext>
          </a:extLst>
        </xdr:cNvPr>
        <xdr:cNvSpPr/>
      </xdr:nvSpPr>
      <xdr:spPr>
        <a:xfrm>
          <a:off x="40568" y="1890783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85</a:t>
          </a:r>
          <a:endParaRPr lang="en-US" sz="800"/>
        </a:p>
      </xdr:txBody>
    </xdr:sp>
    <xdr:clientData/>
  </xdr:twoCellAnchor>
  <xdr:twoCellAnchor>
    <xdr:from>
      <xdr:col>0</xdr:col>
      <xdr:colOff>46781</xdr:colOff>
      <xdr:row>87</xdr:row>
      <xdr:rowOff>65056</xdr:rowOff>
    </xdr:from>
    <xdr:to>
      <xdr:col>0</xdr:col>
      <xdr:colOff>795990</xdr:colOff>
      <xdr:row>88</xdr:row>
      <xdr:rowOff>19373</xdr:rowOff>
    </xdr:to>
    <xdr:sp macro="[0]!Rectangle86_Click" textlink="">
      <xdr:nvSpPr>
        <xdr:cNvPr id="87" name="Rectangle 86">
          <a:extLst>
            <a:ext uri="{FF2B5EF4-FFF2-40B4-BE49-F238E27FC236}">
              <a16:creationId xmlns:a16="http://schemas.microsoft.com/office/drawing/2014/main" id="{00000000-0008-0000-0000-000057000000}"/>
            </a:ext>
          </a:extLst>
        </xdr:cNvPr>
        <xdr:cNvSpPr/>
      </xdr:nvSpPr>
      <xdr:spPr>
        <a:xfrm>
          <a:off x="46781" y="1911505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86</a:t>
          </a:r>
          <a:endParaRPr lang="en-US" sz="800"/>
        </a:p>
      </xdr:txBody>
    </xdr:sp>
    <xdr:clientData/>
  </xdr:twoCellAnchor>
  <xdr:twoCellAnchor>
    <xdr:from>
      <xdr:col>0</xdr:col>
      <xdr:colOff>52994</xdr:colOff>
      <xdr:row>88</xdr:row>
      <xdr:rowOff>62132</xdr:rowOff>
    </xdr:from>
    <xdr:to>
      <xdr:col>0</xdr:col>
      <xdr:colOff>802203</xdr:colOff>
      <xdr:row>89</xdr:row>
      <xdr:rowOff>16449</xdr:rowOff>
    </xdr:to>
    <xdr:sp macro="[0]!Rectangle87_Click" textlink="">
      <xdr:nvSpPr>
        <xdr:cNvPr id="88" name="Rectangle 87">
          <a:extLst>
            <a:ext uri="{FF2B5EF4-FFF2-40B4-BE49-F238E27FC236}">
              <a16:creationId xmlns:a16="http://schemas.microsoft.com/office/drawing/2014/main" id="{00000000-0008-0000-0000-000058000000}"/>
            </a:ext>
          </a:extLst>
        </xdr:cNvPr>
        <xdr:cNvSpPr/>
      </xdr:nvSpPr>
      <xdr:spPr>
        <a:xfrm>
          <a:off x="52994" y="1931313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87</a:t>
          </a:r>
          <a:endParaRPr lang="en-US" sz="800"/>
        </a:p>
      </xdr:txBody>
    </xdr:sp>
    <xdr:clientData/>
  </xdr:twoCellAnchor>
  <xdr:twoCellAnchor>
    <xdr:from>
      <xdr:col>0</xdr:col>
      <xdr:colOff>50070</xdr:colOff>
      <xdr:row>89</xdr:row>
      <xdr:rowOff>59208</xdr:rowOff>
    </xdr:from>
    <xdr:to>
      <xdr:col>0</xdr:col>
      <xdr:colOff>799279</xdr:colOff>
      <xdr:row>90</xdr:row>
      <xdr:rowOff>13524</xdr:rowOff>
    </xdr:to>
    <xdr:sp macro="[0]!Rectangle88_Click" textlink="">
      <xdr:nvSpPr>
        <xdr:cNvPr id="89" name="Rectangle 88">
          <a:extLst>
            <a:ext uri="{FF2B5EF4-FFF2-40B4-BE49-F238E27FC236}">
              <a16:creationId xmlns:a16="http://schemas.microsoft.com/office/drawing/2014/main" id="{00000000-0008-0000-0000-000059000000}"/>
            </a:ext>
          </a:extLst>
        </xdr:cNvPr>
        <xdr:cNvSpPr/>
      </xdr:nvSpPr>
      <xdr:spPr>
        <a:xfrm>
          <a:off x="50070" y="1951122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88</a:t>
          </a:r>
          <a:endParaRPr lang="en-US" sz="800"/>
        </a:p>
      </xdr:txBody>
    </xdr:sp>
    <xdr:clientData/>
  </xdr:twoCellAnchor>
  <xdr:twoCellAnchor>
    <xdr:from>
      <xdr:col>0</xdr:col>
      <xdr:colOff>47146</xdr:colOff>
      <xdr:row>90</xdr:row>
      <xdr:rowOff>47146</xdr:rowOff>
    </xdr:from>
    <xdr:to>
      <xdr:col>0</xdr:col>
      <xdr:colOff>796355</xdr:colOff>
      <xdr:row>91</xdr:row>
      <xdr:rowOff>1463</xdr:rowOff>
    </xdr:to>
    <xdr:sp macro="[0]!Rectangle89_Click" textlink="">
      <xdr:nvSpPr>
        <xdr:cNvPr id="90" name="Rectangle 89">
          <a:extLst>
            <a:ext uri="{FF2B5EF4-FFF2-40B4-BE49-F238E27FC236}">
              <a16:creationId xmlns:a16="http://schemas.microsoft.com/office/drawing/2014/main" id="{00000000-0008-0000-0000-00005A000000}"/>
            </a:ext>
          </a:extLst>
        </xdr:cNvPr>
        <xdr:cNvSpPr/>
      </xdr:nvSpPr>
      <xdr:spPr>
        <a:xfrm>
          <a:off x="47146" y="1970016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89</a:t>
          </a:r>
          <a:endParaRPr lang="en-US" sz="800"/>
        </a:p>
      </xdr:txBody>
    </xdr:sp>
    <xdr:clientData/>
  </xdr:twoCellAnchor>
  <xdr:twoCellAnchor>
    <xdr:from>
      <xdr:col>0</xdr:col>
      <xdr:colOff>37278</xdr:colOff>
      <xdr:row>84</xdr:row>
      <xdr:rowOff>46416</xdr:rowOff>
    </xdr:from>
    <xdr:to>
      <xdr:col>0</xdr:col>
      <xdr:colOff>786487</xdr:colOff>
      <xdr:row>85</xdr:row>
      <xdr:rowOff>732</xdr:rowOff>
    </xdr:to>
    <xdr:sp macro="[0]!Rectangle90_Click" textlink="">
      <xdr:nvSpPr>
        <xdr:cNvPr id="91" name="Rectangle 90">
          <a:extLst>
            <a:ext uri="{FF2B5EF4-FFF2-40B4-BE49-F238E27FC236}">
              <a16:creationId xmlns:a16="http://schemas.microsoft.com/office/drawing/2014/main" id="{00000000-0008-0000-0000-00005B000000}"/>
            </a:ext>
          </a:extLst>
        </xdr:cNvPr>
        <xdr:cNvSpPr/>
      </xdr:nvSpPr>
      <xdr:spPr>
        <a:xfrm>
          <a:off x="37278" y="1849339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83</a:t>
          </a:r>
          <a:endParaRPr lang="en-US" sz="800"/>
        </a:p>
      </xdr:txBody>
    </xdr:sp>
    <xdr:clientData/>
  </xdr:twoCellAnchor>
  <xdr:twoCellAnchor>
    <xdr:from>
      <xdr:col>0</xdr:col>
      <xdr:colOff>48972</xdr:colOff>
      <xdr:row>91</xdr:row>
      <xdr:rowOff>34720</xdr:rowOff>
    </xdr:from>
    <xdr:to>
      <xdr:col>0</xdr:col>
      <xdr:colOff>798181</xdr:colOff>
      <xdr:row>91</xdr:row>
      <xdr:rowOff>190044</xdr:rowOff>
    </xdr:to>
    <xdr:sp macro="[0]!Rectangle91_Click" textlink="">
      <xdr:nvSpPr>
        <xdr:cNvPr id="92" name="Rectangle 91">
          <a:extLst>
            <a:ext uri="{FF2B5EF4-FFF2-40B4-BE49-F238E27FC236}">
              <a16:creationId xmlns:a16="http://schemas.microsoft.com/office/drawing/2014/main" id="{00000000-0008-0000-0000-00005C000000}"/>
            </a:ext>
          </a:extLst>
        </xdr:cNvPr>
        <xdr:cNvSpPr/>
      </xdr:nvSpPr>
      <xdr:spPr>
        <a:xfrm>
          <a:off x="48972" y="1988874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90</a:t>
          </a:r>
          <a:endParaRPr lang="en-US" sz="800"/>
        </a:p>
      </xdr:txBody>
    </xdr:sp>
    <xdr:clientData/>
  </xdr:twoCellAnchor>
  <xdr:twoCellAnchor>
    <xdr:from>
      <xdr:col>0</xdr:col>
      <xdr:colOff>46048</xdr:colOff>
      <xdr:row>92</xdr:row>
      <xdr:rowOff>31797</xdr:rowOff>
    </xdr:from>
    <xdr:to>
      <xdr:col>0</xdr:col>
      <xdr:colOff>795257</xdr:colOff>
      <xdr:row>92</xdr:row>
      <xdr:rowOff>187121</xdr:rowOff>
    </xdr:to>
    <xdr:sp macro="[0]!Rectangle92_Click" textlink="">
      <xdr:nvSpPr>
        <xdr:cNvPr id="93" name="Rectangle 92">
          <a:extLst>
            <a:ext uri="{FF2B5EF4-FFF2-40B4-BE49-F238E27FC236}">
              <a16:creationId xmlns:a16="http://schemas.microsoft.com/office/drawing/2014/main" id="{00000000-0008-0000-0000-00005D000000}"/>
            </a:ext>
          </a:extLst>
        </xdr:cNvPr>
        <xdr:cNvSpPr/>
      </xdr:nvSpPr>
      <xdr:spPr>
        <a:xfrm>
          <a:off x="46048" y="2008683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91</a:t>
          </a:r>
          <a:endParaRPr lang="en-US" sz="800"/>
        </a:p>
      </xdr:txBody>
    </xdr:sp>
    <xdr:clientData/>
  </xdr:twoCellAnchor>
  <xdr:twoCellAnchor>
    <xdr:from>
      <xdr:col>0</xdr:col>
      <xdr:colOff>52261</xdr:colOff>
      <xdr:row>93</xdr:row>
      <xdr:rowOff>19737</xdr:rowOff>
    </xdr:from>
    <xdr:to>
      <xdr:col>0</xdr:col>
      <xdr:colOff>801470</xdr:colOff>
      <xdr:row>93</xdr:row>
      <xdr:rowOff>175061</xdr:rowOff>
    </xdr:to>
    <xdr:sp macro="[0]!Rectangle93_Click" textlink="">
      <xdr:nvSpPr>
        <xdr:cNvPr id="94" name="Rectangle 93">
          <a:extLst>
            <a:ext uri="{FF2B5EF4-FFF2-40B4-BE49-F238E27FC236}">
              <a16:creationId xmlns:a16="http://schemas.microsoft.com/office/drawing/2014/main" id="{00000000-0008-0000-0000-00005E000000}"/>
            </a:ext>
          </a:extLst>
        </xdr:cNvPr>
        <xdr:cNvSpPr/>
      </xdr:nvSpPr>
      <xdr:spPr>
        <a:xfrm>
          <a:off x="52261" y="2027578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92</a:t>
          </a:r>
          <a:endParaRPr lang="en-US" sz="800"/>
        </a:p>
      </xdr:txBody>
    </xdr:sp>
    <xdr:clientData/>
  </xdr:twoCellAnchor>
  <xdr:twoCellAnchor>
    <xdr:from>
      <xdr:col>0</xdr:col>
      <xdr:colOff>36182</xdr:colOff>
      <xdr:row>95</xdr:row>
      <xdr:rowOff>49340</xdr:rowOff>
    </xdr:from>
    <xdr:to>
      <xdr:col>0</xdr:col>
      <xdr:colOff>785391</xdr:colOff>
      <xdr:row>96</xdr:row>
      <xdr:rowOff>3657</xdr:rowOff>
    </xdr:to>
    <xdr:sp macro="[0]!Rectangle94_Click" textlink="">
      <xdr:nvSpPr>
        <xdr:cNvPr id="95" name="Rectangle 94">
          <a:extLst>
            <a:ext uri="{FF2B5EF4-FFF2-40B4-BE49-F238E27FC236}">
              <a16:creationId xmlns:a16="http://schemas.microsoft.com/office/drawing/2014/main" id="{00000000-0008-0000-0000-00005F000000}"/>
            </a:ext>
          </a:extLst>
        </xdr:cNvPr>
        <xdr:cNvSpPr/>
      </xdr:nvSpPr>
      <xdr:spPr>
        <a:xfrm>
          <a:off x="36182" y="2070739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94</a:t>
          </a:r>
          <a:endParaRPr lang="en-US" sz="800"/>
        </a:p>
      </xdr:txBody>
    </xdr:sp>
    <xdr:clientData/>
  </xdr:twoCellAnchor>
  <xdr:twoCellAnchor>
    <xdr:from>
      <xdr:col>0</xdr:col>
      <xdr:colOff>42395</xdr:colOff>
      <xdr:row>96</xdr:row>
      <xdr:rowOff>46417</xdr:rowOff>
    </xdr:from>
    <xdr:to>
      <xdr:col>0</xdr:col>
      <xdr:colOff>791604</xdr:colOff>
      <xdr:row>97</xdr:row>
      <xdr:rowOff>734</xdr:rowOff>
    </xdr:to>
    <xdr:sp macro="[0]!Rectangle95_Click" textlink="">
      <xdr:nvSpPr>
        <xdr:cNvPr id="96" name="Rectangle 95">
          <a:extLst>
            <a:ext uri="{FF2B5EF4-FFF2-40B4-BE49-F238E27FC236}">
              <a16:creationId xmlns:a16="http://schemas.microsoft.com/office/drawing/2014/main" id="{00000000-0008-0000-0000-000060000000}"/>
            </a:ext>
          </a:extLst>
        </xdr:cNvPr>
        <xdr:cNvSpPr/>
      </xdr:nvSpPr>
      <xdr:spPr>
        <a:xfrm>
          <a:off x="42395" y="2090548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95</a:t>
          </a:r>
          <a:endParaRPr lang="en-US" sz="800"/>
        </a:p>
      </xdr:txBody>
    </xdr:sp>
    <xdr:clientData/>
  </xdr:twoCellAnchor>
  <xdr:twoCellAnchor>
    <xdr:from>
      <xdr:col>0</xdr:col>
      <xdr:colOff>48608</xdr:colOff>
      <xdr:row>97</xdr:row>
      <xdr:rowOff>52630</xdr:rowOff>
    </xdr:from>
    <xdr:to>
      <xdr:col>0</xdr:col>
      <xdr:colOff>797817</xdr:colOff>
      <xdr:row>98</xdr:row>
      <xdr:rowOff>6947</xdr:rowOff>
    </xdr:to>
    <xdr:sp macro="[0]!Rectangle96_Click" textlink="">
      <xdr:nvSpPr>
        <xdr:cNvPr id="97" name="Rectangle 96">
          <a:extLst>
            <a:ext uri="{FF2B5EF4-FFF2-40B4-BE49-F238E27FC236}">
              <a16:creationId xmlns:a16="http://schemas.microsoft.com/office/drawing/2014/main" id="{00000000-0008-0000-0000-000061000000}"/>
            </a:ext>
          </a:extLst>
        </xdr:cNvPr>
        <xdr:cNvSpPr/>
      </xdr:nvSpPr>
      <xdr:spPr>
        <a:xfrm>
          <a:off x="48608" y="2111270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96</a:t>
          </a:r>
          <a:endParaRPr lang="en-US" sz="800"/>
        </a:p>
      </xdr:txBody>
    </xdr:sp>
    <xdr:clientData/>
  </xdr:twoCellAnchor>
  <xdr:twoCellAnchor>
    <xdr:from>
      <xdr:col>0</xdr:col>
      <xdr:colOff>54821</xdr:colOff>
      <xdr:row>98</xdr:row>
      <xdr:rowOff>49706</xdr:rowOff>
    </xdr:from>
    <xdr:to>
      <xdr:col>0</xdr:col>
      <xdr:colOff>804030</xdr:colOff>
      <xdr:row>99</xdr:row>
      <xdr:rowOff>4023</xdr:rowOff>
    </xdr:to>
    <xdr:sp macro="[0]!Rectangle97_Click" textlink="">
      <xdr:nvSpPr>
        <xdr:cNvPr id="98" name="Rectangle 97">
          <a:extLst>
            <a:ext uri="{FF2B5EF4-FFF2-40B4-BE49-F238E27FC236}">
              <a16:creationId xmlns:a16="http://schemas.microsoft.com/office/drawing/2014/main" id="{00000000-0008-0000-0000-000062000000}"/>
            </a:ext>
          </a:extLst>
        </xdr:cNvPr>
        <xdr:cNvSpPr/>
      </xdr:nvSpPr>
      <xdr:spPr>
        <a:xfrm>
          <a:off x="54821" y="2131078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97</a:t>
          </a:r>
          <a:endParaRPr lang="en-US" sz="800"/>
        </a:p>
      </xdr:txBody>
    </xdr:sp>
    <xdr:clientData/>
  </xdr:twoCellAnchor>
  <xdr:twoCellAnchor>
    <xdr:from>
      <xdr:col>0</xdr:col>
      <xdr:colOff>51897</xdr:colOff>
      <xdr:row>99</xdr:row>
      <xdr:rowOff>46782</xdr:rowOff>
    </xdr:from>
    <xdr:to>
      <xdr:col>0</xdr:col>
      <xdr:colOff>801106</xdr:colOff>
      <xdr:row>100</xdr:row>
      <xdr:rowOff>1098</xdr:rowOff>
    </xdr:to>
    <xdr:sp macro="[0]!Rectangle98_Click" textlink="">
      <xdr:nvSpPr>
        <xdr:cNvPr id="99" name="Rectangle 98">
          <a:extLst>
            <a:ext uri="{FF2B5EF4-FFF2-40B4-BE49-F238E27FC236}">
              <a16:creationId xmlns:a16="http://schemas.microsoft.com/office/drawing/2014/main" id="{00000000-0008-0000-0000-000063000000}"/>
            </a:ext>
          </a:extLst>
        </xdr:cNvPr>
        <xdr:cNvSpPr/>
      </xdr:nvSpPr>
      <xdr:spPr>
        <a:xfrm>
          <a:off x="51897" y="2150886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98</a:t>
          </a:r>
          <a:endParaRPr lang="en-US" sz="800"/>
        </a:p>
      </xdr:txBody>
    </xdr:sp>
    <xdr:clientData/>
  </xdr:twoCellAnchor>
  <xdr:twoCellAnchor>
    <xdr:from>
      <xdr:col>0</xdr:col>
      <xdr:colOff>48973</xdr:colOff>
      <xdr:row>100</xdr:row>
      <xdr:rowOff>34720</xdr:rowOff>
    </xdr:from>
    <xdr:to>
      <xdr:col>0</xdr:col>
      <xdr:colOff>798182</xdr:colOff>
      <xdr:row>100</xdr:row>
      <xdr:rowOff>190044</xdr:rowOff>
    </xdr:to>
    <xdr:sp macro="[0]!Rectangle99_Click" textlink="">
      <xdr:nvSpPr>
        <xdr:cNvPr id="100" name="Rectangle 99">
          <a:extLst>
            <a:ext uri="{FF2B5EF4-FFF2-40B4-BE49-F238E27FC236}">
              <a16:creationId xmlns:a16="http://schemas.microsoft.com/office/drawing/2014/main" id="{00000000-0008-0000-0000-000064000000}"/>
            </a:ext>
          </a:extLst>
        </xdr:cNvPr>
        <xdr:cNvSpPr/>
      </xdr:nvSpPr>
      <xdr:spPr>
        <a:xfrm>
          <a:off x="48973" y="2169781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99</a:t>
          </a:r>
          <a:endParaRPr lang="en-US" sz="800"/>
        </a:p>
      </xdr:txBody>
    </xdr:sp>
    <xdr:clientData/>
  </xdr:twoCellAnchor>
  <xdr:twoCellAnchor>
    <xdr:from>
      <xdr:col>0</xdr:col>
      <xdr:colOff>39105</xdr:colOff>
      <xdr:row>94</xdr:row>
      <xdr:rowOff>33990</xdr:rowOff>
    </xdr:from>
    <xdr:to>
      <xdr:col>0</xdr:col>
      <xdr:colOff>788314</xdr:colOff>
      <xdr:row>94</xdr:row>
      <xdr:rowOff>189314</xdr:rowOff>
    </xdr:to>
    <xdr:sp macro="[0]!Rectangle100_Click" textlink="">
      <xdr:nvSpPr>
        <xdr:cNvPr id="101" name="Rectangle 100">
          <a:extLst>
            <a:ext uri="{FF2B5EF4-FFF2-40B4-BE49-F238E27FC236}">
              <a16:creationId xmlns:a16="http://schemas.microsoft.com/office/drawing/2014/main" id="{00000000-0008-0000-0000-000065000000}"/>
            </a:ext>
          </a:extLst>
        </xdr:cNvPr>
        <xdr:cNvSpPr/>
      </xdr:nvSpPr>
      <xdr:spPr>
        <a:xfrm>
          <a:off x="39105" y="2049104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93</a:t>
          </a:r>
          <a:endParaRPr lang="en-US" sz="800"/>
        </a:p>
      </xdr:txBody>
    </xdr:sp>
    <xdr:clientData/>
  </xdr:twoCellAnchor>
  <xdr:twoCellAnchor>
    <xdr:from>
      <xdr:col>0</xdr:col>
      <xdr:colOff>46048</xdr:colOff>
      <xdr:row>101</xdr:row>
      <xdr:rowOff>40933</xdr:rowOff>
    </xdr:from>
    <xdr:to>
      <xdr:col>0</xdr:col>
      <xdr:colOff>795257</xdr:colOff>
      <xdr:row>101</xdr:row>
      <xdr:rowOff>196257</xdr:rowOff>
    </xdr:to>
    <xdr:sp macro="[0]!Rectangle101_Click" textlink="">
      <xdr:nvSpPr>
        <xdr:cNvPr id="102" name="Rectangle 101">
          <a:extLst>
            <a:ext uri="{FF2B5EF4-FFF2-40B4-BE49-F238E27FC236}">
              <a16:creationId xmlns:a16="http://schemas.microsoft.com/office/drawing/2014/main" id="{00000000-0008-0000-0000-000066000000}"/>
            </a:ext>
          </a:extLst>
        </xdr:cNvPr>
        <xdr:cNvSpPr/>
      </xdr:nvSpPr>
      <xdr:spPr>
        <a:xfrm>
          <a:off x="46048" y="2190503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100</a:t>
          </a:r>
          <a:endParaRPr lang="en-US" sz="800"/>
        </a:p>
      </xdr:txBody>
    </xdr:sp>
    <xdr:clientData/>
  </xdr:twoCellAnchor>
  <xdr:twoCellAnchor>
    <xdr:from>
      <xdr:col>0</xdr:col>
      <xdr:colOff>43124</xdr:colOff>
      <xdr:row>102</xdr:row>
      <xdr:rowOff>38010</xdr:rowOff>
    </xdr:from>
    <xdr:to>
      <xdr:col>0</xdr:col>
      <xdr:colOff>792333</xdr:colOff>
      <xdr:row>102</xdr:row>
      <xdr:rowOff>193334</xdr:rowOff>
    </xdr:to>
    <xdr:sp macro="[0]!Rectangle102_Click" textlink="">
      <xdr:nvSpPr>
        <xdr:cNvPr id="103" name="Rectangle 102">
          <a:extLst>
            <a:ext uri="{FF2B5EF4-FFF2-40B4-BE49-F238E27FC236}">
              <a16:creationId xmlns:a16="http://schemas.microsoft.com/office/drawing/2014/main" id="{00000000-0008-0000-0000-000067000000}"/>
            </a:ext>
          </a:extLst>
        </xdr:cNvPr>
        <xdr:cNvSpPr/>
      </xdr:nvSpPr>
      <xdr:spPr>
        <a:xfrm>
          <a:off x="43124" y="2210311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101</a:t>
          </a:r>
          <a:endParaRPr lang="en-US" sz="800"/>
        </a:p>
      </xdr:txBody>
    </xdr:sp>
    <xdr:clientData/>
  </xdr:twoCellAnchor>
  <xdr:twoCellAnchor>
    <xdr:from>
      <xdr:col>0</xdr:col>
      <xdr:colOff>49337</xdr:colOff>
      <xdr:row>103</xdr:row>
      <xdr:rowOff>25950</xdr:rowOff>
    </xdr:from>
    <xdr:to>
      <xdr:col>0</xdr:col>
      <xdr:colOff>798546</xdr:colOff>
      <xdr:row>103</xdr:row>
      <xdr:rowOff>181274</xdr:rowOff>
    </xdr:to>
    <xdr:sp macro="[0]!Rectangle103_Click" textlink="">
      <xdr:nvSpPr>
        <xdr:cNvPr id="104" name="Rectangle 103">
          <a:extLst>
            <a:ext uri="{FF2B5EF4-FFF2-40B4-BE49-F238E27FC236}">
              <a16:creationId xmlns:a16="http://schemas.microsoft.com/office/drawing/2014/main" id="{00000000-0008-0000-0000-000068000000}"/>
            </a:ext>
          </a:extLst>
        </xdr:cNvPr>
        <xdr:cNvSpPr/>
      </xdr:nvSpPr>
      <xdr:spPr>
        <a:xfrm>
          <a:off x="49337" y="2229206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102</a:t>
          </a:r>
          <a:endParaRPr lang="en-US" sz="800"/>
        </a:p>
      </xdr:txBody>
    </xdr:sp>
    <xdr:clientData/>
  </xdr:twoCellAnchor>
  <xdr:twoCellAnchor>
    <xdr:from>
      <xdr:col>0</xdr:col>
      <xdr:colOff>33258</xdr:colOff>
      <xdr:row>105</xdr:row>
      <xdr:rowOff>55554</xdr:rowOff>
    </xdr:from>
    <xdr:to>
      <xdr:col>0</xdr:col>
      <xdr:colOff>782467</xdr:colOff>
      <xdr:row>106</xdr:row>
      <xdr:rowOff>9870</xdr:rowOff>
    </xdr:to>
    <xdr:sp macro="[0]!Rectangle104_Click" textlink="">
      <xdr:nvSpPr>
        <xdr:cNvPr id="105" name="Rectangle 104">
          <a:extLst>
            <a:ext uri="{FF2B5EF4-FFF2-40B4-BE49-F238E27FC236}">
              <a16:creationId xmlns:a16="http://schemas.microsoft.com/office/drawing/2014/main" id="{00000000-0008-0000-0000-000069000000}"/>
            </a:ext>
          </a:extLst>
        </xdr:cNvPr>
        <xdr:cNvSpPr/>
      </xdr:nvSpPr>
      <xdr:spPr>
        <a:xfrm>
          <a:off x="33258" y="2272368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104</a:t>
          </a:r>
          <a:endParaRPr lang="en-US" sz="800"/>
        </a:p>
      </xdr:txBody>
    </xdr:sp>
    <xdr:clientData/>
  </xdr:twoCellAnchor>
  <xdr:twoCellAnchor>
    <xdr:from>
      <xdr:col>0</xdr:col>
      <xdr:colOff>39471</xdr:colOff>
      <xdr:row>106</xdr:row>
      <xdr:rowOff>52630</xdr:rowOff>
    </xdr:from>
    <xdr:to>
      <xdr:col>0</xdr:col>
      <xdr:colOff>788680</xdr:colOff>
      <xdr:row>107</xdr:row>
      <xdr:rowOff>6947</xdr:rowOff>
    </xdr:to>
    <xdr:sp macro="[0]!Rectangle105_Click" textlink="">
      <xdr:nvSpPr>
        <xdr:cNvPr id="106" name="Rectangle 105">
          <a:extLst>
            <a:ext uri="{FF2B5EF4-FFF2-40B4-BE49-F238E27FC236}">
              <a16:creationId xmlns:a16="http://schemas.microsoft.com/office/drawing/2014/main" id="{00000000-0008-0000-0000-00006A000000}"/>
            </a:ext>
          </a:extLst>
        </xdr:cNvPr>
        <xdr:cNvSpPr/>
      </xdr:nvSpPr>
      <xdr:spPr>
        <a:xfrm>
          <a:off x="39471" y="2292176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105</a:t>
          </a:r>
          <a:endParaRPr lang="en-US" sz="800"/>
        </a:p>
      </xdr:txBody>
    </xdr:sp>
    <xdr:clientData/>
  </xdr:twoCellAnchor>
  <xdr:twoCellAnchor>
    <xdr:from>
      <xdr:col>0</xdr:col>
      <xdr:colOff>45684</xdr:colOff>
      <xdr:row>107</xdr:row>
      <xdr:rowOff>58843</xdr:rowOff>
    </xdr:from>
    <xdr:to>
      <xdr:col>0</xdr:col>
      <xdr:colOff>794893</xdr:colOff>
      <xdr:row>108</xdr:row>
      <xdr:rowOff>13160</xdr:rowOff>
    </xdr:to>
    <xdr:sp macro="[0]!Rectangle106_Click" textlink="">
      <xdr:nvSpPr>
        <xdr:cNvPr id="107" name="Rectangle 106">
          <a:extLst>
            <a:ext uri="{FF2B5EF4-FFF2-40B4-BE49-F238E27FC236}">
              <a16:creationId xmlns:a16="http://schemas.microsoft.com/office/drawing/2014/main" id="{00000000-0008-0000-0000-00006B000000}"/>
            </a:ext>
          </a:extLst>
        </xdr:cNvPr>
        <xdr:cNvSpPr/>
      </xdr:nvSpPr>
      <xdr:spPr>
        <a:xfrm>
          <a:off x="45684" y="2312898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106</a:t>
          </a:r>
          <a:endParaRPr lang="en-US" sz="800"/>
        </a:p>
      </xdr:txBody>
    </xdr:sp>
    <xdr:clientData/>
  </xdr:twoCellAnchor>
  <xdr:twoCellAnchor>
    <xdr:from>
      <xdr:col>0</xdr:col>
      <xdr:colOff>51897</xdr:colOff>
      <xdr:row>108</xdr:row>
      <xdr:rowOff>55919</xdr:rowOff>
    </xdr:from>
    <xdr:to>
      <xdr:col>0</xdr:col>
      <xdr:colOff>801106</xdr:colOff>
      <xdr:row>109</xdr:row>
      <xdr:rowOff>10236</xdr:rowOff>
    </xdr:to>
    <xdr:sp macro="[0]!Rectangle107_Click" textlink="">
      <xdr:nvSpPr>
        <xdr:cNvPr id="108" name="Rectangle 107">
          <a:extLst>
            <a:ext uri="{FF2B5EF4-FFF2-40B4-BE49-F238E27FC236}">
              <a16:creationId xmlns:a16="http://schemas.microsoft.com/office/drawing/2014/main" id="{00000000-0008-0000-0000-00006C000000}"/>
            </a:ext>
          </a:extLst>
        </xdr:cNvPr>
        <xdr:cNvSpPr/>
      </xdr:nvSpPr>
      <xdr:spPr>
        <a:xfrm>
          <a:off x="51897" y="2332707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107</a:t>
          </a:r>
          <a:endParaRPr lang="en-US" sz="800"/>
        </a:p>
      </xdr:txBody>
    </xdr:sp>
    <xdr:clientData/>
  </xdr:twoCellAnchor>
  <xdr:twoCellAnchor>
    <xdr:from>
      <xdr:col>0</xdr:col>
      <xdr:colOff>48973</xdr:colOff>
      <xdr:row>109</xdr:row>
      <xdr:rowOff>52995</xdr:rowOff>
    </xdr:from>
    <xdr:to>
      <xdr:col>0</xdr:col>
      <xdr:colOff>798182</xdr:colOff>
      <xdr:row>110</xdr:row>
      <xdr:rowOff>7312</xdr:rowOff>
    </xdr:to>
    <xdr:sp macro="[0]!Rectangle108_Click" textlink="">
      <xdr:nvSpPr>
        <xdr:cNvPr id="109" name="Rectangle 108">
          <a:extLst>
            <a:ext uri="{FF2B5EF4-FFF2-40B4-BE49-F238E27FC236}">
              <a16:creationId xmlns:a16="http://schemas.microsoft.com/office/drawing/2014/main" id="{00000000-0008-0000-0000-00006D000000}"/>
            </a:ext>
          </a:extLst>
        </xdr:cNvPr>
        <xdr:cNvSpPr/>
      </xdr:nvSpPr>
      <xdr:spPr>
        <a:xfrm>
          <a:off x="48973" y="2352515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108</a:t>
          </a:r>
          <a:endParaRPr lang="en-US" sz="800"/>
        </a:p>
      </xdr:txBody>
    </xdr:sp>
    <xdr:clientData/>
  </xdr:twoCellAnchor>
  <xdr:twoCellAnchor>
    <xdr:from>
      <xdr:col>0</xdr:col>
      <xdr:colOff>46049</xdr:colOff>
      <xdr:row>110</xdr:row>
      <xdr:rowOff>40934</xdr:rowOff>
    </xdr:from>
    <xdr:to>
      <xdr:col>0</xdr:col>
      <xdr:colOff>795258</xdr:colOff>
      <xdr:row>110</xdr:row>
      <xdr:rowOff>196258</xdr:rowOff>
    </xdr:to>
    <xdr:sp macro="[0]!Rectangle109_Click" textlink="">
      <xdr:nvSpPr>
        <xdr:cNvPr id="110" name="Rectangle 109">
          <a:extLst>
            <a:ext uri="{FF2B5EF4-FFF2-40B4-BE49-F238E27FC236}">
              <a16:creationId xmlns:a16="http://schemas.microsoft.com/office/drawing/2014/main" id="{00000000-0008-0000-0000-00006E000000}"/>
            </a:ext>
          </a:extLst>
        </xdr:cNvPr>
        <xdr:cNvSpPr/>
      </xdr:nvSpPr>
      <xdr:spPr>
        <a:xfrm>
          <a:off x="46049" y="2371409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109</a:t>
          </a:r>
          <a:endParaRPr lang="en-US" sz="800"/>
        </a:p>
      </xdr:txBody>
    </xdr:sp>
    <xdr:clientData/>
  </xdr:twoCellAnchor>
  <xdr:twoCellAnchor>
    <xdr:from>
      <xdr:col>0</xdr:col>
      <xdr:colOff>36181</xdr:colOff>
      <xdr:row>104</xdr:row>
      <xdr:rowOff>40203</xdr:rowOff>
    </xdr:from>
    <xdr:to>
      <xdr:col>0</xdr:col>
      <xdr:colOff>785390</xdr:colOff>
      <xdr:row>104</xdr:row>
      <xdr:rowOff>195527</xdr:rowOff>
    </xdr:to>
    <xdr:sp macro="[0]!Rectangle110_Click" textlink="">
      <xdr:nvSpPr>
        <xdr:cNvPr id="111" name="Rectangle 110">
          <a:extLst>
            <a:ext uri="{FF2B5EF4-FFF2-40B4-BE49-F238E27FC236}">
              <a16:creationId xmlns:a16="http://schemas.microsoft.com/office/drawing/2014/main" id="{00000000-0008-0000-0000-00006F000000}"/>
            </a:ext>
          </a:extLst>
        </xdr:cNvPr>
        <xdr:cNvSpPr/>
      </xdr:nvSpPr>
      <xdr:spPr>
        <a:xfrm>
          <a:off x="36181" y="2250732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103</a:t>
          </a:r>
          <a:endParaRPr lang="en-US" sz="800"/>
        </a:p>
      </xdr:txBody>
    </xdr:sp>
    <xdr:clientData/>
  </xdr:twoCellAnchor>
  <xdr:twoCellAnchor>
    <xdr:from>
      <xdr:col>0</xdr:col>
      <xdr:colOff>43124</xdr:colOff>
      <xdr:row>111</xdr:row>
      <xdr:rowOff>38010</xdr:rowOff>
    </xdr:from>
    <xdr:to>
      <xdr:col>0</xdr:col>
      <xdr:colOff>792333</xdr:colOff>
      <xdr:row>111</xdr:row>
      <xdr:rowOff>193334</xdr:rowOff>
    </xdr:to>
    <xdr:sp macro="[0]!Rectangle111_Click" textlink="">
      <xdr:nvSpPr>
        <xdr:cNvPr id="112" name="Rectangle 111">
          <a:extLst>
            <a:ext uri="{FF2B5EF4-FFF2-40B4-BE49-F238E27FC236}">
              <a16:creationId xmlns:a16="http://schemas.microsoft.com/office/drawing/2014/main" id="{00000000-0008-0000-0000-000070000000}"/>
            </a:ext>
          </a:extLst>
        </xdr:cNvPr>
        <xdr:cNvSpPr/>
      </xdr:nvSpPr>
      <xdr:spPr>
        <a:xfrm>
          <a:off x="43124" y="2391218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110</a:t>
          </a:r>
          <a:endParaRPr lang="en-US" sz="800"/>
        </a:p>
      </xdr:txBody>
    </xdr:sp>
    <xdr:clientData/>
  </xdr:twoCellAnchor>
  <xdr:twoCellAnchor>
    <xdr:from>
      <xdr:col>0</xdr:col>
      <xdr:colOff>40200</xdr:colOff>
      <xdr:row>112</xdr:row>
      <xdr:rowOff>35087</xdr:rowOff>
    </xdr:from>
    <xdr:to>
      <xdr:col>0</xdr:col>
      <xdr:colOff>789409</xdr:colOff>
      <xdr:row>112</xdr:row>
      <xdr:rowOff>190411</xdr:rowOff>
    </xdr:to>
    <xdr:sp macro="[0]!Rectangle112_Click" textlink="">
      <xdr:nvSpPr>
        <xdr:cNvPr id="113" name="Rectangle 112">
          <a:extLst>
            <a:ext uri="{FF2B5EF4-FFF2-40B4-BE49-F238E27FC236}">
              <a16:creationId xmlns:a16="http://schemas.microsoft.com/office/drawing/2014/main" id="{00000000-0008-0000-0000-000071000000}"/>
            </a:ext>
          </a:extLst>
        </xdr:cNvPr>
        <xdr:cNvSpPr/>
      </xdr:nvSpPr>
      <xdr:spPr>
        <a:xfrm>
          <a:off x="40200" y="2411026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111</a:t>
          </a:r>
          <a:endParaRPr lang="en-US" sz="800"/>
        </a:p>
      </xdr:txBody>
    </xdr:sp>
    <xdr:clientData/>
  </xdr:twoCellAnchor>
  <xdr:twoCellAnchor>
    <xdr:from>
      <xdr:col>0</xdr:col>
      <xdr:colOff>46413</xdr:colOff>
      <xdr:row>113</xdr:row>
      <xdr:rowOff>23027</xdr:rowOff>
    </xdr:from>
    <xdr:to>
      <xdr:col>0</xdr:col>
      <xdr:colOff>795622</xdr:colOff>
      <xdr:row>113</xdr:row>
      <xdr:rowOff>178351</xdr:rowOff>
    </xdr:to>
    <xdr:sp macro="[0]!Rectangle113_Click" textlink="">
      <xdr:nvSpPr>
        <xdr:cNvPr id="114" name="Rectangle 113">
          <a:extLst>
            <a:ext uri="{FF2B5EF4-FFF2-40B4-BE49-F238E27FC236}">
              <a16:creationId xmlns:a16="http://schemas.microsoft.com/office/drawing/2014/main" id="{00000000-0008-0000-0000-000072000000}"/>
            </a:ext>
          </a:extLst>
        </xdr:cNvPr>
        <xdr:cNvSpPr/>
      </xdr:nvSpPr>
      <xdr:spPr>
        <a:xfrm>
          <a:off x="46413" y="2429921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112</a:t>
          </a:r>
          <a:endParaRPr lang="en-US" sz="800"/>
        </a:p>
      </xdr:txBody>
    </xdr:sp>
    <xdr:clientData/>
  </xdr:twoCellAnchor>
  <xdr:twoCellAnchor>
    <xdr:from>
      <xdr:col>0</xdr:col>
      <xdr:colOff>30334</xdr:colOff>
      <xdr:row>115</xdr:row>
      <xdr:rowOff>52631</xdr:rowOff>
    </xdr:from>
    <xdr:to>
      <xdr:col>0</xdr:col>
      <xdr:colOff>779543</xdr:colOff>
      <xdr:row>116</xdr:row>
      <xdr:rowOff>6947</xdr:rowOff>
    </xdr:to>
    <xdr:sp macro="[0]!Rectangle114_Click" textlink="">
      <xdr:nvSpPr>
        <xdr:cNvPr id="115" name="Rectangle 114">
          <a:extLst>
            <a:ext uri="{FF2B5EF4-FFF2-40B4-BE49-F238E27FC236}">
              <a16:creationId xmlns:a16="http://schemas.microsoft.com/office/drawing/2014/main" id="{00000000-0008-0000-0000-000073000000}"/>
            </a:ext>
          </a:extLst>
        </xdr:cNvPr>
        <xdr:cNvSpPr/>
      </xdr:nvSpPr>
      <xdr:spPr>
        <a:xfrm>
          <a:off x="30334" y="2473083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114</a:t>
          </a:r>
          <a:endParaRPr lang="en-US" sz="800"/>
        </a:p>
      </xdr:txBody>
    </xdr:sp>
    <xdr:clientData/>
  </xdr:twoCellAnchor>
  <xdr:twoCellAnchor>
    <xdr:from>
      <xdr:col>0</xdr:col>
      <xdr:colOff>36547</xdr:colOff>
      <xdr:row>116</xdr:row>
      <xdr:rowOff>49707</xdr:rowOff>
    </xdr:from>
    <xdr:to>
      <xdr:col>0</xdr:col>
      <xdr:colOff>785756</xdr:colOff>
      <xdr:row>117</xdr:row>
      <xdr:rowOff>4024</xdr:rowOff>
    </xdr:to>
    <xdr:sp macro="[0]!Rectangle115_Click" textlink="">
      <xdr:nvSpPr>
        <xdr:cNvPr id="116" name="Rectangle 115">
          <a:extLst>
            <a:ext uri="{FF2B5EF4-FFF2-40B4-BE49-F238E27FC236}">
              <a16:creationId xmlns:a16="http://schemas.microsoft.com/office/drawing/2014/main" id="{00000000-0008-0000-0000-000074000000}"/>
            </a:ext>
          </a:extLst>
        </xdr:cNvPr>
        <xdr:cNvSpPr/>
      </xdr:nvSpPr>
      <xdr:spPr>
        <a:xfrm>
          <a:off x="36547" y="2492891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115</a:t>
          </a:r>
          <a:endParaRPr lang="en-US" sz="800"/>
        </a:p>
      </xdr:txBody>
    </xdr:sp>
    <xdr:clientData/>
  </xdr:twoCellAnchor>
  <xdr:twoCellAnchor>
    <xdr:from>
      <xdr:col>0</xdr:col>
      <xdr:colOff>42760</xdr:colOff>
      <xdr:row>117</xdr:row>
      <xdr:rowOff>55920</xdr:rowOff>
    </xdr:from>
    <xdr:to>
      <xdr:col>0</xdr:col>
      <xdr:colOff>791969</xdr:colOff>
      <xdr:row>118</xdr:row>
      <xdr:rowOff>10237</xdr:rowOff>
    </xdr:to>
    <xdr:sp macro="[0]!Rectangle116_Click" textlink="">
      <xdr:nvSpPr>
        <xdr:cNvPr id="117" name="Rectangle 116">
          <a:extLst>
            <a:ext uri="{FF2B5EF4-FFF2-40B4-BE49-F238E27FC236}">
              <a16:creationId xmlns:a16="http://schemas.microsoft.com/office/drawing/2014/main" id="{00000000-0008-0000-0000-000075000000}"/>
            </a:ext>
          </a:extLst>
        </xdr:cNvPr>
        <xdr:cNvSpPr/>
      </xdr:nvSpPr>
      <xdr:spPr>
        <a:xfrm>
          <a:off x="42760" y="2513613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116</a:t>
          </a:r>
          <a:endParaRPr lang="en-US" sz="800"/>
        </a:p>
      </xdr:txBody>
    </xdr:sp>
    <xdr:clientData/>
  </xdr:twoCellAnchor>
  <xdr:twoCellAnchor>
    <xdr:from>
      <xdr:col>0</xdr:col>
      <xdr:colOff>48973</xdr:colOff>
      <xdr:row>118</xdr:row>
      <xdr:rowOff>52996</xdr:rowOff>
    </xdr:from>
    <xdr:to>
      <xdr:col>0</xdr:col>
      <xdr:colOff>798182</xdr:colOff>
      <xdr:row>119</xdr:row>
      <xdr:rowOff>7313</xdr:rowOff>
    </xdr:to>
    <xdr:sp macro="[0]!Rectangle117_Click" textlink="">
      <xdr:nvSpPr>
        <xdr:cNvPr id="118" name="Rectangle 117">
          <a:extLst>
            <a:ext uri="{FF2B5EF4-FFF2-40B4-BE49-F238E27FC236}">
              <a16:creationId xmlns:a16="http://schemas.microsoft.com/office/drawing/2014/main" id="{00000000-0008-0000-0000-000076000000}"/>
            </a:ext>
          </a:extLst>
        </xdr:cNvPr>
        <xdr:cNvSpPr/>
      </xdr:nvSpPr>
      <xdr:spPr>
        <a:xfrm>
          <a:off x="48973" y="2533421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117</a:t>
          </a:r>
          <a:endParaRPr lang="en-US" sz="800"/>
        </a:p>
      </xdr:txBody>
    </xdr:sp>
    <xdr:clientData/>
  </xdr:twoCellAnchor>
  <xdr:twoCellAnchor>
    <xdr:from>
      <xdr:col>0</xdr:col>
      <xdr:colOff>46049</xdr:colOff>
      <xdr:row>119</xdr:row>
      <xdr:rowOff>50072</xdr:rowOff>
    </xdr:from>
    <xdr:to>
      <xdr:col>0</xdr:col>
      <xdr:colOff>795258</xdr:colOff>
      <xdr:row>120</xdr:row>
      <xdr:rowOff>4389</xdr:rowOff>
    </xdr:to>
    <xdr:sp macro="[0]!Rectangle118_Click" textlink="">
      <xdr:nvSpPr>
        <xdr:cNvPr id="119" name="Rectangle 118">
          <a:extLst>
            <a:ext uri="{FF2B5EF4-FFF2-40B4-BE49-F238E27FC236}">
              <a16:creationId xmlns:a16="http://schemas.microsoft.com/office/drawing/2014/main" id="{00000000-0008-0000-0000-000077000000}"/>
            </a:ext>
          </a:extLst>
        </xdr:cNvPr>
        <xdr:cNvSpPr/>
      </xdr:nvSpPr>
      <xdr:spPr>
        <a:xfrm>
          <a:off x="46049" y="2553230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118</a:t>
          </a:r>
          <a:endParaRPr lang="en-US" sz="800"/>
        </a:p>
      </xdr:txBody>
    </xdr:sp>
    <xdr:clientData/>
  </xdr:twoCellAnchor>
  <xdr:twoCellAnchor>
    <xdr:from>
      <xdr:col>0</xdr:col>
      <xdr:colOff>43125</xdr:colOff>
      <xdr:row>120</xdr:row>
      <xdr:rowOff>38011</xdr:rowOff>
    </xdr:from>
    <xdr:to>
      <xdr:col>0</xdr:col>
      <xdr:colOff>792334</xdr:colOff>
      <xdr:row>120</xdr:row>
      <xdr:rowOff>193335</xdr:rowOff>
    </xdr:to>
    <xdr:sp macro="[0]!Rectangle119_Click" textlink="">
      <xdr:nvSpPr>
        <xdr:cNvPr id="120" name="Rectangle 119">
          <a:extLst>
            <a:ext uri="{FF2B5EF4-FFF2-40B4-BE49-F238E27FC236}">
              <a16:creationId xmlns:a16="http://schemas.microsoft.com/office/drawing/2014/main" id="{00000000-0008-0000-0000-000078000000}"/>
            </a:ext>
          </a:extLst>
        </xdr:cNvPr>
        <xdr:cNvSpPr/>
      </xdr:nvSpPr>
      <xdr:spPr>
        <a:xfrm>
          <a:off x="43125" y="2572124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119</a:t>
          </a:r>
          <a:endParaRPr lang="en-US" sz="800"/>
        </a:p>
      </xdr:txBody>
    </xdr:sp>
    <xdr:clientData/>
  </xdr:twoCellAnchor>
  <xdr:twoCellAnchor>
    <xdr:from>
      <xdr:col>0</xdr:col>
      <xdr:colOff>33257</xdr:colOff>
      <xdr:row>114</xdr:row>
      <xdr:rowOff>37280</xdr:rowOff>
    </xdr:from>
    <xdr:to>
      <xdr:col>0</xdr:col>
      <xdr:colOff>782466</xdr:colOff>
      <xdr:row>114</xdr:row>
      <xdr:rowOff>192604</xdr:rowOff>
    </xdr:to>
    <xdr:sp macro="[0]!Rectangle120_Click" textlink="">
      <xdr:nvSpPr>
        <xdr:cNvPr id="121" name="Rectangle 120">
          <a:extLst>
            <a:ext uri="{FF2B5EF4-FFF2-40B4-BE49-F238E27FC236}">
              <a16:creationId xmlns:a16="http://schemas.microsoft.com/office/drawing/2014/main" id="{00000000-0008-0000-0000-000079000000}"/>
            </a:ext>
          </a:extLst>
        </xdr:cNvPr>
        <xdr:cNvSpPr/>
      </xdr:nvSpPr>
      <xdr:spPr>
        <a:xfrm>
          <a:off x="33257" y="2451447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113</a:t>
          </a:r>
          <a:endParaRPr lang="en-US" sz="800"/>
        </a:p>
      </xdr:txBody>
    </xdr:sp>
    <xdr:clientData/>
  </xdr:twoCellAnchor>
  <xdr:twoCellAnchor>
    <xdr:from>
      <xdr:col>0</xdr:col>
      <xdr:colOff>40201</xdr:colOff>
      <xdr:row>121</xdr:row>
      <xdr:rowOff>44223</xdr:rowOff>
    </xdr:from>
    <xdr:to>
      <xdr:col>0</xdr:col>
      <xdr:colOff>789410</xdr:colOff>
      <xdr:row>121</xdr:row>
      <xdr:rowOff>199547</xdr:rowOff>
    </xdr:to>
    <xdr:sp macro="[0]!Rectangle121_Click" textlink="">
      <xdr:nvSpPr>
        <xdr:cNvPr id="122" name="Rectangle 121">
          <a:extLst>
            <a:ext uri="{FF2B5EF4-FFF2-40B4-BE49-F238E27FC236}">
              <a16:creationId xmlns:a16="http://schemas.microsoft.com/office/drawing/2014/main" id="{00000000-0008-0000-0000-00007A000000}"/>
            </a:ext>
          </a:extLst>
        </xdr:cNvPr>
        <xdr:cNvSpPr/>
      </xdr:nvSpPr>
      <xdr:spPr>
        <a:xfrm>
          <a:off x="40201" y="2592846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120</a:t>
          </a:r>
          <a:endParaRPr lang="en-US" sz="800"/>
        </a:p>
      </xdr:txBody>
    </xdr:sp>
    <xdr:clientData/>
  </xdr:twoCellAnchor>
  <xdr:twoCellAnchor>
    <xdr:from>
      <xdr:col>0</xdr:col>
      <xdr:colOff>37277</xdr:colOff>
      <xdr:row>122</xdr:row>
      <xdr:rowOff>41300</xdr:rowOff>
    </xdr:from>
    <xdr:to>
      <xdr:col>0</xdr:col>
      <xdr:colOff>786486</xdr:colOff>
      <xdr:row>122</xdr:row>
      <xdr:rowOff>196624</xdr:rowOff>
    </xdr:to>
    <xdr:sp macro="[0]!Rectangle122_Click" textlink="">
      <xdr:nvSpPr>
        <xdr:cNvPr id="123" name="Rectangle 122">
          <a:extLst>
            <a:ext uri="{FF2B5EF4-FFF2-40B4-BE49-F238E27FC236}">
              <a16:creationId xmlns:a16="http://schemas.microsoft.com/office/drawing/2014/main" id="{00000000-0008-0000-0000-00007B000000}"/>
            </a:ext>
          </a:extLst>
        </xdr:cNvPr>
        <xdr:cNvSpPr/>
      </xdr:nvSpPr>
      <xdr:spPr>
        <a:xfrm>
          <a:off x="37277" y="2612655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121</a:t>
          </a:r>
          <a:endParaRPr lang="en-US" sz="800"/>
        </a:p>
      </xdr:txBody>
    </xdr:sp>
    <xdr:clientData/>
  </xdr:twoCellAnchor>
  <xdr:twoCellAnchor>
    <xdr:from>
      <xdr:col>0</xdr:col>
      <xdr:colOff>43490</xdr:colOff>
      <xdr:row>123</xdr:row>
      <xdr:rowOff>29240</xdr:rowOff>
    </xdr:from>
    <xdr:to>
      <xdr:col>0</xdr:col>
      <xdr:colOff>792699</xdr:colOff>
      <xdr:row>123</xdr:row>
      <xdr:rowOff>184564</xdr:rowOff>
    </xdr:to>
    <xdr:sp macro="[0]!Rectangle123_Click" textlink="">
      <xdr:nvSpPr>
        <xdr:cNvPr id="124" name="Rectangle 123">
          <a:extLst>
            <a:ext uri="{FF2B5EF4-FFF2-40B4-BE49-F238E27FC236}">
              <a16:creationId xmlns:a16="http://schemas.microsoft.com/office/drawing/2014/main" id="{00000000-0008-0000-0000-00007C000000}"/>
            </a:ext>
          </a:extLst>
        </xdr:cNvPr>
        <xdr:cNvSpPr/>
      </xdr:nvSpPr>
      <xdr:spPr>
        <a:xfrm>
          <a:off x="43490" y="2631549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122</a:t>
          </a:r>
          <a:endParaRPr lang="en-US" sz="800"/>
        </a:p>
      </xdr:txBody>
    </xdr:sp>
    <xdr:clientData/>
  </xdr:twoCellAnchor>
  <xdr:twoCellAnchor>
    <xdr:from>
      <xdr:col>0</xdr:col>
      <xdr:colOff>27411</xdr:colOff>
      <xdr:row>125</xdr:row>
      <xdr:rowOff>58844</xdr:rowOff>
    </xdr:from>
    <xdr:to>
      <xdr:col>0</xdr:col>
      <xdr:colOff>776620</xdr:colOff>
      <xdr:row>126</xdr:row>
      <xdr:rowOff>13160</xdr:rowOff>
    </xdr:to>
    <xdr:sp macro="[0]!Rectangle124_Click" textlink="">
      <xdr:nvSpPr>
        <xdr:cNvPr id="125" name="Rectangle 124">
          <a:extLst>
            <a:ext uri="{FF2B5EF4-FFF2-40B4-BE49-F238E27FC236}">
              <a16:creationId xmlns:a16="http://schemas.microsoft.com/office/drawing/2014/main" id="{00000000-0008-0000-0000-00007D000000}"/>
            </a:ext>
          </a:extLst>
        </xdr:cNvPr>
        <xdr:cNvSpPr/>
      </xdr:nvSpPr>
      <xdr:spPr>
        <a:xfrm>
          <a:off x="27411" y="2674711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124</a:t>
          </a:r>
          <a:endParaRPr lang="en-US" sz="800"/>
        </a:p>
      </xdr:txBody>
    </xdr:sp>
    <xdr:clientData/>
  </xdr:twoCellAnchor>
  <xdr:twoCellAnchor>
    <xdr:from>
      <xdr:col>0</xdr:col>
      <xdr:colOff>33624</xdr:colOff>
      <xdr:row>126</xdr:row>
      <xdr:rowOff>55920</xdr:rowOff>
    </xdr:from>
    <xdr:to>
      <xdr:col>0</xdr:col>
      <xdr:colOff>782833</xdr:colOff>
      <xdr:row>127</xdr:row>
      <xdr:rowOff>10237</xdr:rowOff>
    </xdr:to>
    <xdr:sp macro="[0]!Rectangle125_Click" textlink="">
      <xdr:nvSpPr>
        <xdr:cNvPr id="126" name="Rectangle 125">
          <a:extLst>
            <a:ext uri="{FF2B5EF4-FFF2-40B4-BE49-F238E27FC236}">
              <a16:creationId xmlns:a16="http://schemas.microsoft.com/office/drawing/2014/main" id="{00000000-0008-0000-0000-00007E000000}"/>
            </a:ext>
          </a:extLst>
        </xdr:cNvPr>
        <xdr:cNvSpPr/>
      </xdr:nvSpPr>
      <xdr:spPr>
        <a:xfrm>
          <a:off x="33624" y="2694520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125</a:t>
          </a:r>
          <a:endParaRPr lang="en-US" sz="800"/>
        </a:p>
      </xdr:txBody>
    </xdr:sp>
    <xdr:clientData/>
  </xdr:twoCellAnchor>
  <xdr:twoCellAnchor>
    <xdr:from>
      <xdr:col>0</xdr:col>
      <xdr:colOff>39837</xdr:colOff>
      <xdr:row>127</xdr:row>
      <xdr:rowOff>62133</xdr:rowOff>
    </xdr:from>
    <xdr:to>
      <xdr:col>0</xdr:col>
      <xdr:colOff>789046</xdr:colOff>
      <xdr:row>128</xdr:row>
      <xdr:rowOff>16450</xdr:rowOff>
    </xdr:to>
    <xdr:sp macro="[0]!Rectangle126_Click" textlink="">
      <xdr:nvSpPr>
        <xdr:cNvPr id="127" name="Rectangle 126">
          <a:extLst>
            <a:ext uri="{FF2B5EF4-FFF2-40B4-BE49-F238E27FC236}">
              <a16:creationId xmlns:a16="http://schemas.microsoft.com/office/drawing/2014/main" id="{00000000-0008-0000-0000-00007F000000}"/>
            </a:ext>
          </a:extLst>
        </xdr:cNvPr>
        <xdr:cNvSpPr/>
      </xdr:nvSpPr>
      <xdr:spPr>
        <a:xfrm>
          <a:off x="39837" y="2715242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126</a:t>
          </a:r>
          <a:endParaRPr lang="en-US" sz="800"/>
        </a:p>
      </xdr:txBody>
    </xdr:sp>
    <xdr:clientData/>
  </xdr:twoCellAnchor>
  <xdr:twoCellAnchor>
    <xdr:from>
      <xdr:col>0</xdr:col>
      <xdr:colOff>46050</xdr:colOff>
      <xdr:row>128</xdr:row>
      <xdr:rowOff>59209</xdr:rowOff>
    </xdr:from>
    <xdr:to>
      <xdr:col>0</xdr:col>
      <xdr:colOff>795259</xdr:colOff>
      <xdr:row>129</xdr:row>
      <xdr:rowOff>13526</xdr:rowOff>
    </xdr:to>
    <xdr:sp macro="[0]!Rectangle127_Click" textlink="">
      <xdr:nvSpPr>
        <xdr:cNvPr id="128" name="Rectangle 127">
          <a:extLst>
            <a:ext uri="{FF2B5EF4-FFF2-40B4-BE49-F238E27FC236}">
              <a16:creationId xmlns:a16="http://schemas.microsoft.com/office/drawing/2014/main" id="{00000000-0008-0000-0000-000080000000}"/>
            </a:ext>
          </a:extLst>
        </xdr:cNvPr>
        <xdr:cNvSpPr/>
      </xdr:nvSpPr>
      <xdr:spPr>
        <a:xfrm>
          <a:off x="46050" y="2735050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127</a:t>
          </a:r>
          <a:endParaRPr lang="en-US" sz="800"/>
        </a:p>
      </xdr:txBody>
    </xdr:sp>
    <xdr:clientData/>
  </xdr:twoCellAnchor>
  <xdr:twoCellAnchor>
    <xdr:from>
      <xdr:col>0</xdr:col>
      <xdr:colOff>43126</xdr:colOff>
      <xdr:row>129</xdr:row>
      <xdr:rowOff>56285</xdr:rowOff>
    </xdr:from>
    <xdr:to>
      <xdr:col>0</xdr:col>
      <xdr:colOff>792335</xdr:colOff>
      <xdr:row>130</xdr:row>
      <xdr:rowOff>10602</xdr:rowOff>
    </xdr:to>
    <xdr:sp macro="[0]!Rectangle128_Click" textlink="">
      <xdr:nvSpPr>
        <xdr:cNvPr id="129" name="Rectangle 128">
          <a:extLst>
            <a:ext uri="{FF2B5EF4-FFF2-40B4-BE49-F238E27FC236}">
              <a16:creationId xmlns:a16="http://schemas.microsoft.com/office/drawing/2014/main" id="{00000000-0008-0000-0000-000081000000}"/>
            </a:ext>
          </a:extLst>
        </xdr:cNvPr>
        <xdr:cNvSpPr/>
      </xdr:nvSpPr>
      <xdr:spPr>
        <a:xfrm>
          <a:off x="43126" y="2754858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128</a:t>
          </a:r>
          <a:endParaRPr lang="en-US" sz="800"/>
        </a:p>
      </xdr:txBody>
    </xdr:sp>
    <xdr:clientData/>
  </xdr:twoCellAnchor>
  <xdr:twoCellAnchor>
    <xdr:from>
      <xdr:col>0</xdr:col>
      <xdr:colOff>40202</xdr:colOff>
      <xdr:row>130</xdr:row>
      <xdr:rowOff>44224</xdr:rowOff>
    </xdr:from>
    <xdr:to>
      <xdr:col>0</xdr:col>
      <xdr:colOff>789411</xdr:colOff>
      <xdr:row>130</xdr:row>
      <xdr:rowOff>199548</xdr:rowOff>
    </xdr:to>
    <xdr:sp macro="[0]!Rectangle129_Click" textlink="">
      <xdr:nvSpPr>
        <xdr:cNvPr id="130" name="Rectangle 129">
          <a:extLst>
            <a:ext uri="{FF2B5EF4-FFF2-40B4-BE49-F238E27FC236}">
              <a16:creationId xmlns:a16="http://schemas.microsoft.com/office/drawing/2014/main" id="{00000000-0008-0000-0000-000082000000}"/>
            </a:ext>
          </a:extLst>
        </xdr:cNvPr>
        <xdr:cNvSpPr/>
      </xdr:nvSpPr>
      <xdr:spPr>
        <a:xfrm>
          <a:off x="40202" y="2773753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129</a:t>
          </a:r>
          <a:endParaRPr lang="en-US" sz="800"/>
        </a:p>
      </xdr:txBody>
    </xdr:sp>
    <xdr:clientData/>
  </xdr:twoCellAnchor>
  <xdr:twoCellAnchor>
    <xdr:from>
      <xdr:col>0</xdr:col>
      <xdr:colOff>30334</xdr:colOff>
      <xdr:row>124</xdr:row>
      <xdr:rowOff>43493</xdr:rowOff>
    </xdr:from>
    <xdr:to>
      <xdr:col>0</xdr:col>
      <xdr:colOff>779543</xdr:colOff>
      <xdr:row>124</xdr:row>
      <xdr:rowOff>198817</xdr:rowOff>
    </xdr:to>
    <xdr:sp macro="[0]!Rectangle130_Click" textlink="">
      <xdr:nvSpPr>
        <xdr:cNvPr id="131" name="Rectangle 130">
          <a:extLst>
            <a:ext uri="{FF2B5EF4-FFF2-40B4-BE49-F238E27FC236}">
              <a16:creationId xmlns:a16="http://schemas.microsoft.com/office/drawing/2014/main" id="{00000000-0008-0000-0000-000083000000}"/>
            </a:ext>
          </a:extLst>
        </xdr:cNvPr>
        <xdr:cNvSpPr/>
      </xdr:nvSpPr>
      <xdr:spPr>
        <a:xfrm>
          <a:off x="30334" y="2653075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123</a:t>
          </a:r>
          <a:endParaRPr lang="en-US" sz="800"/>
        </a:p>
      </xdr:txBody>
    </xdr:sp>
    <xdr:clientData/>
  </xdr:twoCellAnchor>
  <xdr:twoCellAnchor>
    <xdr:from>
      <xdr:col>0</xdr:col>
      <xdr:colOff>46049</xdr:colOff>
      <xdr:row>131</xdr:row>
      <xdr:rowOff>40933</xdr:rowOff>
    </xdr:from>
    <xdr:to>
      <xdr:col>0</xdr:col>
      <xdr:colOff>795258</xdr:colOff>
      <xdr:row>131</xdr:row>
      <xdr:rowOff>196257</xdr:rowOff>
    </xdr:to>
    <xdr:sp macro="[0]!Rectangle171_Click" textlink="">
      <xdr:nvSpPr>
        <xdr:cNvPr id="172" name="Rectangle 171">
          <a:extLst>
            <a:ext uri="{FF2B5EF4-FFF2-40B4-BE49-F238E27FC236}">
              <a16:creationId xmlns:a16="http://schemas.microsoft.com/office/drawing/2014/main" id="{00000000-0008-0000-0000-0000AC000000}"/>
            </a:ext>
          </a:extLst>
        </xdr:cNvPr>
        <xdr:cNvSpPr/>
      </xdr:nvSpPr>
      <xdr:spPr>
        <a:xfrm>
          <a:off x="46049" y="2793525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130</a:t>
          </a:r>
          <a:endParaRPr lang="en-US" sz="800"/>
        </a:p>
      </xdr:txBody>
    </xdr:sp>
    <xdr:clientData/>
  </xdr:twoCellAnchor>
  <xdr:twoCellAnchor>
    <xdr:from>
      <xdr:col>0</xdr:col>
      <xdr:colOff>43125</xdr:colOff>
      <xdr:row>132</xdr:row>
      <xdr:rowOff>38010</xdr:rowOff>
    </xdr:from>
    <xdr:to>
      <xdr:col>0</xdr:col>
      <xdr:colOff>792334</xdr:colOff>
      <xdr:row>132</xdr:row>
      <xdr:rowOff>193334</xdr:rowOff>
    </xdr:to>
    <xdr:sp macro="[0]!Rectangle172_Click" textlink="">
      <xdr:nvSpPr>
        <xdr:cNvPr id="173" name="Rectangle 172">
          <a:extLst>
            <a:ext uri="{FF2B5EF4-FFF2-40B4-BE49-F238E27FC236}">
              <a16:creationId xmlns:a16="http://schemas.microsoft.com/office/drawing/2014/main" id="{00000000-0008-0000-0000-0000AD000000}"/>
            </a:ext>
          </a:extLst>
        </xdr:cNvPr>
        <xdr:cNvSpPr/>
      </xdr:nvSpPr>
      <xdr:spPr>
        <a:xfrm>
          <a:off x="43125" y="2813333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131</a:t>
          </a:r>
          <a:endParaRPr lang="en-US" sz="800"/>
        </a:p>
      </xdr:txBody>
    </xdr:sp>
    <xdr:clientData/>
  </xdr:twoCellAnchor>
  <xdr:twoCellAnchor>
    <xdr:from>
      <xdr:col>0</xdr:col>
      <xdr:colOff>49338</xdr:colOff>
      <xdr:row>133</xdr:row>
      <xdr:rowOff>25950</xdr:rowOff>
    </xdr:from>
    <xdr:to>
      <xdr:col>0</xdr:col>
      <xdr:colOff>798547</xdr:colOff>
      <xdr:row>133</xdr:row>
      <xdr:rowOff>181274</xdr:rowOff>
    </xdr:to>
    <xdr:sp macro="[0]!Rectangle173_Click" textlink="">
      <xdr:nvSpPr>
        <xdr:cNvPr id="174" name="Rectangle 173">
          <a:extLst>
            <a:ext uri="{FF2B5EF4-FFF2-40B4-BE49-F238E27FC236}">
              <a16:creationId xmlns:a16="http://schemas.microsoft.com/office/drawing/2014/main" id="{00000000-0008-0000-0000-0000AE000000}"/>
            </a:ext>
          </a:extLst>
        </xdr:cNvPr>
        <xdr:cNvSpPr/>
      </xdr:nvSpPr>
      <xdr:spPr>
        <a:xfrm>
          <a:off x="49338" y="2832228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132</a:t>
          </a:r>
          <a:endParaRPr lang="en-US" sz="800"/>
        </a:p>
      </xdr:txBody>
    </xdr:sp>
    <xdr:clientData/>
  </xdr:twoCellAnchor>
  <xdr:twoCellAnchor>
    <xdr:from>
      <xdr:col>0</xdr:col>
      <xdr:colOff>33259</xdr:colOff>
      <xdr:row>135</xdr:row>
      <xdr:rowOff>55554</xdr:rowOff>
    </xdr:from>
    <xdr:to>
      <xdr:col>0</xdr:col>
      <xdr:colOff>782468</xdr:colOff>
      <xdr:row>136</xdr:row>
      <xdr:rowOff>9870</xdr:rowOff>
    </xdr:to>
    <xdr:sp macro="[0]!Rectangle174_Click" textlink="">
      <xdr:nvSpPr>
        <xdr:cNvPr id="175" name="Rectangle 174">
          <a:extLst>
            <a:ext uri="{FF2B5EF4-FFF2-40B4-BE49-F238E27FC236}">
              <a16:creationId xmlns:a16="http://schemas.microsoft.com/office/drawing/2014/main" id="{00000000-0008-0000-0000-0000AF000000}"/>
            </a:ext>
          </a:extLst>
        </xdr:cNvPr>
        <xdr:cNvSpPr/>
      </xdr:nvSpPr>
      <xdr:spPr>
        <a:xfrm>
          <a:off x="33259" y="2875389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134</a:t>
          </a:r>
          <a:endParaRPr lang="en-US" sz="800"/>
        </a:p>
      </xdr:txBody>
    </xdr:sp>
    <xdr:clientData/>
  </xdr:twoCellAnchor>
  <xdr:twoCellAnchor>
    <xdr:from>
      <xdr:col>0</xdr:col>
      <xdr:colOff>39472</xdr:colOff>
      <xdr:row>136</xdr:row>
      <xdr:rowOff>52630</xdr:rowOff>
    </xdr:from>
    <xdr:to>
      <xdr:col>0</xdr:col>
      <xdr:colOff>788681</xdr:colOff>
      <xdr:row>137</xdr:row>
      <xdr:rowOff>6947</xdr:rowOff>
    </xdr:to>
    <xdr:sp macro="[0]!Rectangle175_Click" textlink="">
      <xdr:nvSpPr>
        <xdr:cNvPr id="176" name="Rectangle 175">
          <a:extLst>
            <a:ext uri="{FF2B5EF4-FFF2-40B4-BE49-F238E27FC236}">
              <a16:creationId xmlns:a16="http://schemas.microsoft.com/office/drawing/2014/main" id="{00000000-0008-0000-0000-0000B0000000}"/>
            </a:ext>
          </a:extLst>
        </xdr:cNvPr>
        <xdr:cNvSpPr/>
      </xdr:nvSpPr>
      <xdr:spPr>
        <a:xfrm>
          <a:off x="39472" y="2895198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135</a:t>
          </a:r>
          <a:endParaRPr lang="en-US" sz="800"/>
        </a:p>
      </xdr:txBody>
    </xdr:sp>
    <xdr:clientData/>
  </xdr:twoCellAnchor>
  <xdr:twoCellAnchor>
    <xdr:from>
      <xdr:col>0</xdr:col>
      <xdr:colOff>45685</xdr:colOff>
      <xdr:row>137</xdr:row>
      <xdr:rowOff>58843</xdr:rowOff>
    </xdr:from>
    <xdr:to>
      <xdr:col>0</xdr:col>
      <xdr:colOff>794894</xdr:colOff>
      <xdr:row>138</xdr:row>
      <xdr:rowOff>13160</xdr:rowOff>
    </xdr:to>
    <xdr:sp macro="[0]!Rectangle176_Click" textlink="">
      <xdr:nvSpPr>
        <xdr:cNvPr id="177" name="Rectangle 176">
          <a:extLst>
            <a:ext uri="{FF2B5EF4-FFF2-40B4-BE49-F238E27FC236}">
              <a16:creationId xmlns:a16="http://schemas.microsoft.com/office/drawing/2014/main" id="{00000000-0008-0000-0000-0000B1000000}"/>
            </a:ext>
          </a:extLst>
        </xdr:cNvPr>
        <xdr:cNvSpPr/>
      </xdr:nvSpPr>
      <xdr:spPr>
        <a:xfrm>
          <a:off x="45685" y="2915920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136</a:t>
          </a:r>
          <a:endParaRPr lang="en-US" sz="800"/>
        </a:p>
      </xdr:txBody>
    </xdr:sp>
    <xdr:clientData/>
  </xdr:twoCellAnchor>
  <xdr:twoCellAnchor>
    <xdr:from>
      <xdr:col>0</xdr:col>
      <xdr:colOff>51898</xdr:colOff>
      <xdr:row>138</xdr:row>
      <xdr:rowOff>55919</xdr:rowOff>
    </xdr:from>
    <xdr:to>
      <xdr:col>0</xdr:col>
      <xdr:colOff>801107</xdr:colOff>
      <xdr:row>139</xdr:row>
      <xdr:rowOff>10236</xdr:rowOff>
    </xdr:to>
    <xdr:sp macro="[0]!Rectangle177_Click" textlink="">
      <xdr:nvSpPr>
        <xdr:cNvPr id="178" name="Rectangle 177">
          <a:extLst>
            <a:ext uri="{FF2B5EF4-FFF2-40B4-BE49-F238E27FC236}">
              <a16:creationId xmlns:a16="http://schemas.microsoft.com/office/drawing/2014/main" id="{00000000-0008-0000-0000-0000B2000000}"/>
            </a:ext>
          </a:extLst>
        </xdr:cNvPr>
        <xdr:cNvSpPr/>
      </xdr:nvSpPr>
      <xdr:spPr>
        <a:xfrm>
          <a:off x="51898" y="2935728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137</a:t>
          </a:r>
          <a:endParaRPr lang="en-US" sz="800"/>
        </a:p>
      </xdr:txBody>
    </xdr:sp>
    <xdr:clientData/>
  </xdr:twoCellAnchor>
  <xdr:twoCellAnchor>
    <xdr:from>
      <xdr:col>0</xdr:col>
      <xdr:colOff>48974</xdr:colOff>
      <xdr:row>139</xdr:row>
      <xdr:rowOff>52995</xdr:rowOff>
    </xdr:from>
    <xdr:to>
      <xdr:col>0</xdr:col>
      <xdr:colOff>798183</xdr:colOff>
      <xdr:row>140</xdr:row>
      <xdr:rowOff>7312</xdr:rowOff>
    </xdr:to>
    <xdr:sp macro="[0]!Rectangle178_Click" textlink="">
      <xdr:nvSpPr>
        <xdr:cNvPr id="179" name="Rectangle 178">
          <a:extLst>
            <a:ext uri="{FF2B5EF4-FFF2-40B4-BE49-F238E27FC236}">
              <a16:creationId xmlns:a16="http://schemas.microsoft.com/office/drawing/2014/main" id="{00000000-0008-0000-0000-0000B3000000}"/>
            </a:ext>
          </a:extLst>
        </xdr:cNvPr>
        <xdr:cNvSpPr/>
      </xdr:nvSpPr>
      <xdr:spPr>
        <a:xfrm>
          <a:off x="48974" y="2955536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138</a:t>
          </a:r>
          <a:endParaRPr lang="en-US" sz="800"/>
        </a:p>
      </xdr:txBody>
    </xdr:sp>
    <xdr:clientData/>
  </xdr:twoCellAnchor>
  <xdr:twoCellAnchor>
    <xdr:from>
      <xdr:col>0</xdr:col>
      <xdr:colOff>46050</xdr:colOff>
      <xdr:row>140</xdr:row>
      <xdr:rowOff>40934</xdr:rowOff>
    </xdr:from>
    <xdr:to>
      <xdr:col>0</xdr:col>
      <xdr:colOff>795259</xdr:colOff>
      <xdr:row>140</xdr:row>
      <xdr:rowOff>196258</xdr:rowOff>
    </xdr:to>
    <xdr:sp macro="[0]!Rectangle179_Click" textlink="">
      <xdr:nvSpPr>
        <xdr:cNvPr id="180" name="Rectangle 179">
          <a:extLst>
            <a:ext uri="{FF2B5EF4-FFF2-40B4-BE49-F238E27FC236}">
              <a16:creationId xmlns:a16="http://schemas.microsoft.com/office/drawing/2014/main" id="{00000000-0008-0000-0000-0000B4000000}"/>
            </a:ext>
          </a:extLst>
        </xdr:cNvPr>
        <xdr:cNvSpPr/>
      </xdr:nvSpPr>
      <xdr:spPr>
        <a:xfrm>
          <a:off x="46050" y="2974431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139</a:t>
          </a:r>
          <a:endParaRPr lang="en-US" sz="800"/>
        </a:p>
      </xdr:txBody>
    </xdr:sp>
    <xdr:clientData/>
  </xdr:twoCellAnchor>
  <xdr:twoCellAnchor>
    <xdr:from>
      <xdr:col>0</xdr:col>
      <xdr:colOff>36182</xdr:colOff>
      <xdr:row>134</xdr:row>
      <xdr:rowOff>40203</xdr:rowOff>
    </xdr:from>
    <xdr:to>
      <xdr:col>0</xdr:col>
      <xdr:colOff>785391</xdr:colOff>
      <xdr:row>134</xdr:row>
      <xdr:rowOff>195527</xdr:rowOff>
    </xdr:to>
    <xdr:sp macro="[0]!Rectangle180_Click" textlink="">
      <xdr:nvSpPr>
        <xdr:cNvPr id="181" name="Rectangle 180">
          <a:extLst>
            <a:ext uri="{FF2B5EF4-FFF2-40B4-BE49-F238E27FC236}">
              <a16:creationId xmlns:a16="http://schemas.microsoft.com/office/drawing/2014/main" id="{00000000-0008-0000-0000-0000B5000000}"/>
            </a:ext>
          </a:extLst>
        </xdr:cNvPr>
        <xdr:cNvSpPr/>
      </xdr:nvSpPr>
      <xdr:spPr>
        <a:xfrm>
          <a:off x="36182" y="2853754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133</a:t>
          </a:r>
          <a:endParaRPr lang="en-US" sz="800"/>
        </a:p>
      </xdr:txBody>
    </xdr:sp>
    <xdr:clientData/>
  </xdr:twoCellAnchor>
  <xdr:twoCellAnchor>
    <xdr:from>
      <xdr:col>0</xdr:col>
      <xdr:colOff>43125</xdr:colOff>
      <xdr:row>141</xdr:row>
      <xdr:rowOff>47147</xdr:rowOff>
    </xdr:from>
    <xdr:to>
      <xdr:col>0</xdr:col>
      <xdr:colOff>792334</xdr:colOff>
      <xdr:row>142</xdr:row>
      <xdr:rowOff>1463</xdr:rowOff>
    </xdr:to>
    <xdr:sp macro="[0]!Rectangle181_Click" textlink="">
      <xdr:nvSpPr>
        <xdr:cNvPr id="182" name="Rectangle 181">
          <a:extLst>
            <a:ext uri="{FF2B5EF4-FFF2-40B4-BE49-F238E27FC236}">
              <a16:creationId xmlns:a16="http://schemas.microsoft.com/office/drawing/2014/main" id="{00000000-0008-0000-0000-0000B6000000}"/>
            </a:ext>
          </a:extLst>
        </xdr:cNvPr>
        <xdr:cNvSpPr/>
      </xdr:nvSpPr>
      <xdr:spPr>
        <a:xfrm>
          <a:off x="43125" y="2995153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140</a:t>
          </a:r>
          <a:endParaRPr lang="en-US" sz="800"/>
        </a:p>
      </xdr:txBody>
    </xdr:sp>
    <xdr:clientData/>
  </xdr:twoCellAnchor>
  <xdr:twoCellAnchor>
    <xdr:from>
      <xdr:col>0</xdr:col>
      <xdr:colOff>40201</xdr:colOff>
      <xdr:row>142</xdr:row>
      <xdr:rowOff>44223</xdr:rowOff>
    </xdr:from>
    <xdr:to>
      <xdr:col>0</xdr:col>
      <xdr:colOff>789410</xdr:colOff>
      <xdr:row>142</xdr:row>
      <xdr:rowOff>199547</xdr:rowOff>
    </xdr:to>
    <xdr:sp macro="[0]!Rectangle182_Click" textlink="">
      <xdr:nvSpPr>
        <xdr:cNvPr id="183" name="Rectangle 182">
          <a:extLst>
            <a:ext uri="{FF2B5EF4-FFF2-40B4-BE49-F238E27FC236}">
              <a16:creationId xmlns:a16="http://schemas.microsoft.com/office/drawing/2014/main" id="{00000000-0008-0000-0000-0000B7000000}"/>
            </a:ext>
          </a:extLst>
        </xdr:cNvPr>
        <xdr:cNvSpPr/>
      </xdr:nvSpPr>
      <xdr:spPr>
        <a:xfrm>
          <a:off x="40201" y="3014961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141</a:t>
          </a:r>
          <a:endParaRPr lang="en-US" sz="800"/>
        </a:p>
      </xdr:txBody>
    </xdr:sp>
    <xdr:clientData/>
  </xdr:twoCellAnchor>
  <xdr:twoCellAnchor>
    <xdr:from>
      <xdr:col>0</xdr:col>
      <xdr:colOff>46414</xdr:colOff>
      <xdr:row>143</xdr:row>
      <xdr:rowOff>32163</xdr:rowOff>
    </xdr:from>
    <xdr:to>
      <xdr:col>0</xdr:col>
      <xdr:colOff>795623</xdr:colOff>
      <xdr:row>143</xdr:row>
      <xdr:rowOff>187487</xdr:rowOff>
    </xdr:to>
    <xdr:sp macro="[0]!Rectangle183_Click" textlink="">
      <xdr:nvSpPr>
        <xdr:cNvPr id="184" name="Rectangle 183">
          <a:extLst>
            <a:ext uri="{FF2B5EF4-FFF2-40B4-BE49-F238E27FC236}">
              <a16:creationId xmlns:a16="http://schemas.microsoft.com/office/drawing/2014/main" id="{00000000-0008-0000-0000-0000B8000000}"/>
            </a:ext>
          </a:extLst>
        </xdr:cNvPr>
        <xdr:cNvSpPr/>
      </xdr:nvSpPr>
      <xdr:spPr>
        <a:xfrm>
          <a:off x="46414" y="3033856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142</a:t>
          </a:r>
          <a:endParaRPr lang="en-US" sz="800"/>
        </a:p>
      </xdr:txBody>
    </xdr:sp>
    <xdr:clientData/>
  </xdr:twoCellAnchor>
  <xdr:twoCellAnchor>
    <xdr:from>
      <xdr:col>0</xdr:col>
      <xdr:colOff>30335</xdr:colOff>
      <xdr:row>145</xdr:row>
      <xdr:rowOff>61767</xdr:rowOff>
    </xdr:from>
    <xdr:to>
      <xdr:col>0</xdr:col>
      <xdr:colOff>779544</xdr:colOff>
      <xdr:row>146</xdr:row>
      <xdr:rowOff>16084</xdr:rowOff>
    </xdr:to>
    <xdr:sp macro="[0]!Rectangle184_Click" textlink="">
      <xdr:nvSpPr>
        <xdr:cNvPr id="185" name="Rectangle 184">
          <a:extLst>
            <a:ext uri="{FF2B5EF4-FFF2-40B4-BE49-F238E27FC236}">
              <a16:creationId xmlns:a16="http://schemas.microsoft.com/office/drawing/2014/main" id="{00000000-0008-0000-0000-0000B9000000}"/>
            </a:ext>
          </a:extLst>
        </xdr:cNvPr>
        <xdr:cNvSpPr/>
      </xdr:nvSpPr>
      <xdr:spPr>
        <a:xfrm>
          <a:off x="30335" y="3077018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144</a:t>
          </a:r>
          <a:endParaRPr lang="en-US" sz="800"/>
        </a:p>
      </xdr:txBody>
    </xdr:sp>
    <xdr:clientData/>
  </xdr:twoCellAnchor>
  <xdr:twoCellAnchor>
    <xdr:from>
      <xdr:col>0</xdr:col>
      <xdr:colOff>36548</xdr:colOff>
      <xdr:row>146</xdr:row>
      <xdr:rowOff>58844</xdr:rowOff>
    </xdr:from>
    <xdr:to>
      <xdr:col>0</xdr:col>
      <xdr:colOff>785757</xdr:colOff>
      <xdr:row>147</xdr:row>
      <xdr:rowOff>13160</xdr:rowOff>
    </xdr:to>
    <xdr:sp macro="[0]!Rectangle185_Click" textlink="">
      <xdr:nvSpPr>
        <xdr:cNvPr id="186" name="Rectangle 185">
          <a:extLst>
            <a:ext uri="{FF2B5EF4-FFF2-40B4-BE49-F238E27FC236}">
              <a16:creationId xmlns:a16="http://schemas.microsoft.com/office/drawing/2014/main" id="{00000000-0008-0000-0000-0000BA000000}"/>
            </a:ext>
          </a:extLst>
        </xdr:cNvPr>
        <xdr:cNvSpPr/>
      </xdr:nvSpPr>
      <xdr:spPr>
        <a:xfrm>
          <a:off x="36548" y="3096826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145</a:t>
          </a:r>
          <a:endParaRPr lang="en-US" sz="800"/>
        </a:p>
      </xdr:txBody>
    </xdr:sp>
    <xdr:clientData/>
  </xdr:twoCellAnchor>
  <xdr:twoCellAnchor>
    <xdr:from>
      <xdr:col>0</xdr:col>
      <xdr:colOff>42761</xdr:colOff>
      <xdr:row>147</xdr:row>
      <xdr:rowOff>65056</xdr:rowOff>
    </xdr:from>
    <xdr:to>
      <xdr:col>0</xdr:col>
      <xdr:colOff>791970</xdr:colOff>
      <xdr:row>148</xdr:row>
      <xdr:rowOff>19373</xdr:rowOff>
    </xdr:to>
    <xdr:sp macro="[0]!Rectangle186_Click" textlink="">
      <xdr:nvSpPr>
        <xdr:cNvPr id="187" name="Rectangle 186">
          <a:extLst>
            <a:ext uri="{FF2B5EF4-FFF2-40B4-BE49-F238E27FC236}">
              <a16:creationId xmlns:a16="http://schemas.microsoft.com/office/drawing/2014/main" id="{00000000-0008-0000-0000-0000BB000000}"/>
            </a:ext>
          </a:extLst>
        </xdr:cNvPr>
        <xdr:cNvSpPr/>
      </xdr:nvSpPr>
      <xdr:spPr>
        <a:xfrm>
          <a:off x="42761" y="3117548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146</a:t>
          </a:r>
          <a:endParaRPr lang="en-US" sz="800"/>
        </a:p>
      </xdr:txBody>
    </xdr:sp>
    <xdr:clientData/>
  </xdr:twoCellAnchor>
  <xdr:twoCellAnchor>
    <xdr:from>
      <xdr:col>0</xdr:col>
      <xdr:colOff>48974</xdr:colOff>
      <xdr:row>148</xdr:row>
      <xdr:rowOff>62132</xdr:rowOff>
    </xdr:from>
    <xdr:to>
      <xdr:col>0</xdr:col>
      <xdr:colOff>798183</xdr:colOff>
      <xdr:row>149</xdr:row>
      <xdr:rowOff>16449</xdr:rowOff>
    </xdr:to>
    <xdr:sp macro="[0]!Rectangle187_Click" textlink="">
      <xdr:nvSpPr>
        <xdr:cNvPr id="188" name="Rectangle 187">
          <a:extLst>
            <a:ext uri="{FF2B5EF4-FFF2-40B4-BE49-F238E27FC236}">
              <a16:creationId xmlns:a16="http://schemas.microsoft.com/office/drawing/2014/main" id="{00000000-0008-0000-0000-0000BC000000}"/>
            </a:ext>
          </a:extLst>
        </xdr:cNvPr>
        <xdr:cNvSpPr/>
      </xdr:nvSpPr>
      <xdr:spPr>
        <a:xfrm>
          <a:off x="48974" y="3137357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147</a:t>
          </a:r>
          <a:endParaRPr lang="en-US" sz="800"/>
        </a:p>
      </xdr:txBody>
    </xdr:sp>
    <xdr:clientData/>
  </xdr:twoCellAnchor>
  <xdr:twoCellAnchor>
    <xdr:from>
      <xdr:col>0</xdr:col>
      <xdr:colOff>46050</xdr:colOff>
      <xdr:row>149</xdr:row>
      <xdr:rowOff>59208</xdr:rowOff>
    </xdr:from>
    <xdr:to>
      <xdr:col>0</xdr:col>
      <xdr:colOff>795259</xdr:colOff>
      <xdr:row>150</xdr:row>
      <xdr:rowOff>13525</xdr:rowOff>
    </xdr:to>
    <xdr:sp macro="[0]!Rectangle188_Click" textlink="">
      <xdr:nvSpPr>
        <xdr:cNvPr id="189" name="Rectangle 188">
          <a:extLst>
            <a:ext uri="{FF2B5EF4-FFF2-40B4-BE49-F238E27FC236}">
              <a16:creationId xmlns:a16="http://schemas.microsoft.com/office/drawing/2014/main" id="{00000000-0008-0000-0000-0000BD000000}"/>
            </a:ext>
          </a:extLst>
        </xdr:cNvPr>
        <xdr:cNvSpPr/>
      </xdr:nvSpPr>
      <xdr:spPr>
        <a:xfrm>
          <a:off x="46050" y="3157165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148</a:t>
          </a:r>
          <a:endParaRPr lang="en-US" sz="800"/>
        </a:p>
      </xdr:txBody>
    </xdr:sp>
    <xdr:clientData/>
  </xdr:twoCellAnchor>
  <xdr:twoCellAnchor>
    <xdr:from>
      <xdr:col>0</xdr:col>
      <xdr:colOff>43126</xdr:colOff>
      <xdr:row>150</xdr:row>
      <xdr:rowOff>47147</xdr:rowOff>
    </xdr:from>
    <xdr:to>
      <xdr:col>0</xdr:col>
      <xdr:colOff>792335</xdr:colOff>
      <xdr:row>151</xdr:row>
      <xdr:rowOff>1464</xdr:rowOff>
    </xdr:to>
    <xdr:sp macro="[0]!Rectangle189_Click" textlink="">
      <xdr:nvSpPr>
        <xdr:cNvPr id="190" name="Rectangle 189">
          <a:extLst>
            <a:ext uri="{FF2B5EF4-FFF2-40B4-BE49-F238E27FC236}">
              <a16:creationId xmlns:a16="http://schemas.microsoft.com/office/drawing/2014/main" id="{00000000-0008-0000-0000-0000BE000000}"/>
            </a:ext>
          </a:extLst>
        </xdr:cNvPr>
        <xdr:cNvSpPr/>
      </xdr:nvSpPr>
      <xdr:spPr>
        <a:xfrm>
          <a:off x="43126" y="3176060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149</a:t>
          </a:r>
          <a:endParaRPr lang="en-US" sz="800"/>
        </a:p>
      </xdr:txBody>
    </xdr:sp>
    <xdr:clientData/>
  </xdr:twoCellAnchor>
  <xdr:twoCellAnchor>
    <xdr:from>
      <xdr:col>0</xdr:col>
      <xdr:colOff>33258</xdr:colOff>
      <xdr:row>144</xdr:row>
      <xdr:rowOff>46416</xdr:rowOff>
    </xdr:from>
    <xdr:to>
      <xdr:col>0</xdr:col>
      <xdr:colOff>782467</xdr:colOff>
      <xdr:row>145</xdr:row>
      <xdr:rowOff>733</xdr:rowOff>
    </xdr:to>
    <xdr:sp macro="[0]!Rectangle190_Click" textlink="">
      <xdr:nvSpPr>
        <xdr:cNvPr id="191" name="Rectangle 190">
          <a:extLst>
            <a:ext uri="{FF2B5EF4-FFF2-40B4-BE49-F238E27FC236}">
              <a16:creationId xmlns:a16="http://schemas.microsoft.com/office/drawing/2014/main" id="{00000000-0008-0000-0000-0000BF000000}"/>
            </a:ext>
          </a:extLst>
        </xdr:cNvPr>
        <xdr:cNvSpPr/>
      </xdr:nvSpPr>
      <xdr:spPr>
        <a:xfrm>
          <a:off x="33258" y="3055382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143</a:t>
          </a:r>
          <a:endParaRPr lang="en-US" sz="800"/>
        </a:p>
      </xdr:txBody>
    </xdr:sp>
    <xdr:clientData/>
  </xdr:twoCellAnchor>
  <xdr:twoCellAnchor>
    <xdr:from>
      <xdr:col>0</xdr:col>
      <xdr:colOff>40201</xdr:colOff>
      <xdr:row>151</xdr:row>
      <xdr:rowOff>44224</xdr:rowOff>
    </xdr:from>
    <xdr:to>
      <xdr:col>0</xdr:col>
      <xdr:colOff>789410</xdr:colOff>
      <xdr:row>151</xdr:row>
      <xdr:rowOff>199548</xdr:rowOff>
    </xdr:to>
    <xdr:sp macro="[0]!Rectangle191_Click" textlink="">
      <xdr:nvSpPr>
        <xdr:cNvPr id="192" name="Rectangle 191">
          <a:extLst>
            <a:ext uri="{FF2B5EF4-FFF2-40B4-BE49-F238E27FC236}">
              <a16:creationId xmlns:a16="http://schemas.microsoft.com/office/drawing/2014/main" id="{00000000-0008-0000-0000-0000C0000000}"/>
            </a:ext>
          </a:extLst>
        </xdr:cNvPr>
        <xdr:cNvSpPr/>
      </xdr:nvSpPr>
      <xdr:spPr>
        <a:xfrm>
          <a:off x="40201" y="3195868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150</a:t>
          </a:r>
          <a:endParaRPr lang="en-US" sz="800"/>
        </a:p>
      </xdr:txBody>
    </xdr:sp>
    <xdr:clientData/>
  </xdr:twoCellAnchor>
  <xdr:twoCellAnchor>
    <xdr:from>
      <xdr:col>0</xdr:col>
      <xdr:colOff>37277</xdr:colOff>
      <xdr:row>152</xdr:row>
      <xdr:rowOff>41300</xdr:rowOff>
    </xdr:from>
    <xdr:to>
      <xdr:col>0</xdr:col>
      <xdr:colOff>786486</xdr:colOff>
      <xdr:row>152</xdr:row>
      <xdr:rowOff>196624</xdr:rowOff>
    </xdr:to>
    <xdr:sp macro="[0]!Rectangle192_Click" textlink="">
      <xdr:nvSpPr>
        <xdr:cNvPr id="193" name="Rectangle 192">
          <a:extLst>
            <a:ext uri="{FF2B5EF4-FFF2-40B4-BE49-F238E27FC236}">
              <a16:creationId xmlns:a16="http://schemas.microsoft.com/office/drawing/2014/main" id="{00000000-0008-0000-0000-0000C1000000}"/>
            </a:ext>
          </a:extLst>
        </xdr:cNvPr>
        <xdr:cNvSpPr/>
      </xdr:nvSpPr>
      <xdr:spPr>
        <a:xfrm>
          <a:off x="37277" y="3215676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151</a:t>
          </a:r>
          <a:endParaRPr lang="en-US" sz="800"/>
        </a:p>
      </xdr:txBody>
    </xdr:sp>
    <xdr:clientData/>
  </xdr:twoCellAnchor>
  <xdr:twoCellAnchor>
    <xdr:from>
      <xdr:col>0</xdr:col>
      <xdr:colOff>43490</xdr:colOff>
      <xdr:row>153</xdr:row>
      <xdr:rowOff>29240</xdr:rowOff>
    </xdr:from>
    <xdr:to>
      <xdr:col>0</xdr:col>
      <xdr:colOff>792699</xdr:colOff>
      <xdr:row>153</xdr:row>
      <xdr:rowOff>184564</xdr:rowOff>
    </xdr:to>
    <xdr:sp macro="[0]!Rectangle193_Click" textlink="">
      <xdr:nvSpPr>
        <xdr:cNvPr id="194" name="Rectangle 193">
          <a:extLst>
            <a:ext uri="{FF2B5EF4-FFF2-40B4-BE49-F238E27FC236}">
              <a16:creationId xmlns:a16="http://schemas.microsoft.com/office/drawing/2014/main" id="{00000000-0008-0000-0000-0000C2000000}"/>
            </a:ext>
          </a:extLst>
        </xdr:cNvPr>
        <xdr:cNvSpPr/>
      </xdr:nvSpPr>
      <xdr:spPr>
        <a:xfrm>
          <a:off x="43490" y="3234571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152</a:t>
          </a:r>
          <a:endParaRPr lang="en-US" sz="800"/>
        </a:p>
      </xdr:txBody>
    </xdr:sp>
    <xdr:clientData/>
  </xdr:twoCellAnchor>
  <xdr:twoCellAnchor>
    <xdr:from>
      <xdr:col>0</xdr:col>
      <xdr:colOff>27411</xdr:colOff>
      <xdr:row>155</xdr:row>
      <xdr:rowOff>58844</xdr:rowOff>
    </xdr:from>
    <xdr:to>
      <xdr:col>0</xdr:col>
      <xdr:colOff>776620</xdr:colOff>
      <xdr:row>156</xdr:row>
      <xdr:rowOff>13161</xdr:rowOff>
    </xdr:to>
    <xdr:sp macro="[0]!Rectangle194_Click" textlink="">
      <xdr:nvSpPr>
        <xdr:cNvPr id="195" name="Rectangle 194">
          <a:extLst>
            <a:ext uri="{FF2B5EF4-FFF2-40B4-BE49-F238E27FC236}">
              <a16:creationId xmlns:a16="http://schemas.microsoft.com/office/drawing/2014/main" id="{00000000-0008-0000-0000-0000C3000000}"/>
            </a:ext>
          </a:extLst>
        </xdr:cNvPr>
        <xdr:cNvSpPr/>
      </xdr:nvSpPr>
      <xdr:spPr>
        <a:xfrm>
          <a:off x="27411" y="3277733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154</a:t>
          </a:r>
          <a:endParaRPr lang="en-US" sz="800"/>
        </a:p>
      </xdr:txBody>
    </xdr:sp>
    <xdr:clientData/>
  </xdr:twoCellAnchor>
  <xdr:twoCellAnchor>
    <xdr:from>
      <xdr:col>0</xdr:col>
      <xdr:colOff>33624</xdr:colOff>
      <xdr:row>156</xdr:row>
      <xdr:rowOff>55921</xdr:rowOff>
    </xdr:from>
    <xdr:to>
      <xdr:col>0</xdr:col>
      <xdr:colOff>782833</xdr:colOff>
      <xdr:row>157</xdr:row>
      <xdr:rowOff>10237</xdr:rowOff>
    </xdr:to>
    <xdr:sp macro="[0]!Rectangle195_Click" textlink="">
      <xdr:nvSpPr>
        <xdr:cNvPr id="196" name="Rectangle 195">
          <a:extLst>
            <a:ext uri="{FF2B5EF4-FFF2-40B4-BE49-F238E27FC236}">
              <a16:creationId xmlns:a16="http://schemas.microsoft.com/office/drawing/2014/main" id="{00000000-0008-0000-0000-0000C4000000}"/>
            </a:ext>
          </a:extLst>
        </xdr:cNvPr>
        <xdr:cNvSpPr/>
      </xdr:nvSpPr>
      <xdr:spPr>
        <a:xfrm>
          <a:off x="33624" y="3297541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155</a:t>
          </a:r>
          <a:endParaRPr lang="en-US" sz="800"/>
        </a:p>
      </xdr:txBody>
    </xdr:sp>
    <xdr:clientData/>
  </xdr:twoCellAnchor>
  <xdr:twoCellAnchor>
    <xdr:from>
      <xdr:col>0</xdr:col>
      <xdr:colOff>39837</xdr:colOff>
      <xdr:row>157</xdr:row>
      <xdr:rowOff>62133</xdr:rowOff>
    </xdr:from>
    <xdr:to>
      <xdr:col>0</xdr:col>
      <xdr:colOff>789046</xdr:colOff>
      <xdr:row>158</xdr:row>
      <xdr:rowOff>16450</xdr:rowOff>
    </xdr:to>
    <xdr:sp macro="[0]!Rectangle196_Click" textlink="">
      <xdr:nvSpPr>
        <xdr:cNvPr id="197" name="Rectangle 196">
          <a:extLst>
            <a:ext uri="{FF2B5EF4-FFF2-40B4-BE49-F238E27FC236}">
              <a16:creationId xmlns:a16="http://schemas.microsoft.com/office/drawing/2014/main" id="{00000000-0008-0000-0000-0000C5000000}"/>
            </a:ext>
          </a:extLst>
        </xdr:cNvPr>
        <xdr:cNvSpPr/>
      </xdr:nvSpPr>
      <xdr:spPr>
        <a:xfrm>
          <a:off x="39837" y="3318263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156</a:t>
          </a:r>
          <a:endParaRPr lang="en-US" sz="800"/>
        </a:p>
      </xdr:txBody>
    </xdr:sp>
    <xdr:clientData/>
  </xdr:twoCellAnchor>
  <xdr:twoCellAnchor>
    <xdr:from>
      <xdr:col>0</xdr:col>
      <xdr:colOff>46050</xdr:colOff>
      <xdr:row>158</xdr:row>
      <xdr:rowOff>59209</xdr:rowOff>
    </xdr:from>
    <xdr:to>
      <xdr:col>0</xdr:col>
      <xdr:colOff>795259</xdr:colOff>
      <xdr:row>159</xdr:row>
      <xdr:rowOff>13526</xdr:rowOff>
    </xdr:to>
    <xdr:sp macro="[0]!Rectangle197_Click" textlink="">
      <xdr:nvSpPr>
        <xdr:cNvPr id="198" name="Rectangle 197">
          <a:extLst>
            <a:ext uri="{FF2B5EF4-FFF2-40B4-BE49-F238E27FC236}">
              <a16:creationId xmlns:a16="http://schemas.microsoft.com/office/drawing/2014/main" id="{00000000-0008-0000-0000-0000C6000000}"/>
            </a:ext>
          </a:extLst>
        </xdr:cNvPr>
        <xdr:cNvSpPr/>
      </xdr:nvSpPr>
      <xdr:spPr>
        <a:xfrm>
          <a:off x="46050" y="3338072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157</a:t>
          </a:r>
          <a:endParaRPr lang="en-US" sz="800"/>
        </a:p>
      </xdr:txBody>
    </xdr:sp>
    <xdr:clientData/>
  </xdr:twoCellAnchor>
  <xdr:twoCellAnchor>
    <xdr:from>
      <xdr:col>0</xdr:col>
      <xdr:colOff>43126</xdr:colOff>
      <xdr:row>159</xdr:row>
      <xdr:rowOff>56285</xdr:rowOff>
    </xdr:from>
    <xdr:to>
      <xdr:col>0</xdr:col>
      <xdr:colOff>792335</xdr:colOff>
      <xdr:row>160</xdr:row>
      <xdr:rowOff>10602</xdr:rowOff>
    </xdr:to>
    <xdr:sp macro="[0]!Rectangle198_Click" textlink="">
      <xdr:nvSpPr>
        <xdr:cNvPr id="199" name="Rectangle 198">
          <a:extLst>
            <a:ext uri="{FF2B5EF4-FFF2-40B4-BE49-F238E27FC236}">
              <a16:creationId xmlns:a16="http://schemas.microsoft.com/office/drawing/2014/main" id="{00000000-0008-0000-0000-0000C7000000}"/>
            </a:ext>
          </a:extLst>
        </xdr:cNvPr>
        <xdr:cNvSpPr/>
      </xdr:nvSpPr>
      <xdr:spPr>
        <a:xfrm>
          <a:off x="43126" y="3357880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158</a:t>
          </a:r>
          <a:endParaRPr lang="en-US" sz="800"/>
        </a:p>
      </xdr:txBody>
    </xdr:sp>
    <xdr:clientData/>
  </xdr:twoCellAnchor>
  <xdr:twoCellAnchor>
    <xdr:from>
      <xdr:col>0</xdr:col>
      <xdr:colOff>40202</xdr:colOff>
      <xdr:row>160</xdr:row>
      <xdr:rowOff>44224</xdr:rowOff>
    </xdr:from>
    <xdr:to>
      <xdr:col>0</xdr:col>
      <xdr:colOff>789411</xdr:colOff>
      <xdr:row>160</xdr:row>
      <xdr:rowOff>199548</xdr:rowOff>
    </xdr:to>
    <xdr:sp macro="[0]!Rectangle199_Click" textlink="">
      <xdr:nvSpPr>
        <xdr:cNvPr id="200" name="Rectangle 199">
          <a:extLst>
            <a:ext uri="{FF2B5EF4-FFF2-40B4-BE49-F238E27FC236}">
              <a16:creationId xmlns:a16="http://schemas.microsoft.com/office/drawing/2014/main" id="{00000000-0008-0000-0000-0000C8000000}"/>
            </a:ext>
          </a:extLst>
        </xdr:cNvPr>
        <xdr:cNvSpPr/>
      </xdr:nvSpPr>
      <xdr:spPr>
        <a:xfrm>
          <a:off x="40202" y="3376774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159</a:t>
          </a:r>
          <a:endParaRPr lang="en-US" sz="800"/>
        </a:p>
      </xdr:txBody>
    </xdr:sp>
    <xdr:clientData/>
  </xdr:twoCellAnchor>
  <xdr:twoCellAnchor>
    <xdr:from>
      <xdr:col>0</xdr:col>
      <xdr:colOff>30334</xdr:colOff>
      <xdr:row>154</xdr:row>
      <xdr:rowOff>43493</xdr:rowOff>
    </xdr:from>
    <xdr:to>
      <xdr:col>0</xdr:col>
      <xdr:colOff>779543</xdr:colOff>
      <xdr:row>154</xdr:row>
      <xdr:rowOff>198817</xdr:rowOff>
    </xdr:to>
    <xdr:sp macro="[0]!Rectangle200_Click" textlink="">
      <xdr:nvSpPr>
        <xdr:cNvPr id="201" name="Rectangle 200">
          <a:extLst>
            <a:ext uri="{FF2B5EF4-FFF2-40B4-BE49-F238E27FC236}">
              <a16:creationId xmlns:a16="http://schemas.microsoft.com/office/drawing/2014/main" id="{00000000-0008-0000-0000-0000C9000000}"/>
            </a:ext>
          </a:extLst>
        </xdr:cNvPr>
        <xdr:cNvSpPr/>
      </xdr:nvSpPr>
      <xdr:spPr>
        <a:xfrm>
          <a:off x="30334" y="3256097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153</a:t>
          </a:r>
          <a:endParaRPr lang="en-US" sz="800"/>
        </a:p>
      </xdr:txBody>
    </xdr:sp>
    <xdr:clientData/>
  </xdr:twoCellAnchor>
  <xdr:twoCellAnchor>
    <xdr:from>
      <xdr:col>0</xdr:col>
      <xdr:colOff>37278</xdr:colOff>
      <xdr:row>161</xdr:row>
      <xdr:rowOff>50437</xdr:rowOff>
    </xdr:from>
    <xdr:to>
      <xdr:col>0</xdr:col>
      <xdr:colOff>786487</xdr:colOff>
      <xdr:row>162</xdr:row>
      <xdr:rowOff>4753</xdr:rowOff>
    </xdr:to>
    <xdr:sp macro="[0]!Rectangle201_Click" textlink="">
      <xdr:nvSpPr>
        <xdr:cNvPr id="202" name="Rectangle 201">
          <a:extLst>
            <a:ext uri="{FF2B5EF4-FFF2-40B4-BE49-F238E27FC236}">
              <a16:creationId xmlns:a16="http://schemas.microsoft.com/office/drawing/2014/main" id="{00000000-0008-0000-0000-0000CA000000}"/>
            </a:ext>
          </a:extLst>
        </xdr:cNvPr>
        <xdr:cNvSpPr/>
      </xdr:nvSpPr>
      <xdr:spPr>
        <a:xfrm>
          <a:off x="37278" y="3397496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160</a:t>
          </a:r>
          <a:endParaRPr lang="en-US" sz="800"/>
        </a:p>
      </xdr:txBody>
    </xdr:sp>
    <xdr:clientData/>
  </xdr:twoCellAnchor>
  <xdr:twoCellAnchor>
    <xdr:from>
      <xdr:col>0</xdr:col>
      <xdr:colOff>34354</xdr:colOff>
      <xdr:row>162</xdr:row>
      <xdr:rowOff>47513</xdr:rowOff>
    </xdr:from>
    <xdr:to>
      <xdr:col>0</xdr:col>
      <xdr:colOff>783563</xdr:colOff>
      <xdr:row>163</xdr:row>
      <xdr:rowOff>1830</xdr:rowOff>
    </xdr:to>
    <xdr:sp macro="[0]!Rectangle202_Click" textlink="">
      <xdr:nvSpPr>
        <xdr:cNvPr id="203" name="Rectangle 202">
          <a:extLst>
            <a:ext uri="{FF2B5EF4-FFF2-40B4-BE49-F238E27FC236}">
              <a16:creationId xmlns:a16="http://schemas.microsoft.com/office/drawing/2014/main" id="{00000000-0008-0000-0000-0000CB000000}"/>
            </a:ext>
          </a:extLst>
        </xdr:cNvPr>
        <xdr:cNvSpPr/>
      </xdr:nvSpPr>
      <xdr:spPr>
        <a:xfrm>
          <a:off x="34354" y="3417305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161</a:t>
          </a:r>
          <a:endParaRPr lang="en-US" sz="800"/>
        </a:p>
      </xdr:txBody>
    </xdr:sp>
    <xdr:clientData/>
  </xdr:twoCellAnchor>
  <xdr:twoCellAnchor>
    <xdr:from>
      <xdr:col>0</xdr:col>
      <xdr:colOff>40567</xdr:colOff>
      <xdr:row>163</xdr:row>
      <xdr:rowOff>35453</xdr:rowOff>
    </xdr:from>
    <xdr:to>
      <xdr:col>0</xdr:col>
      <xdr:colOff>789776</xdr:colOff>
      <xdr:row>163</xdr:row>
      <xdr:rowOff>190777</xdr:rowOff>
    </xdr:to>
    <xdr:sp macro="[0]!Rectangle203_Click" textlink="">
      <xdr:nvSpPr>
        <xdr:cNvPr id="204" name="Rectangle 203">
          <a:extLst>
            <a:ext uri="{FF2B5EF4-FFF2-40B4-BE49-F238E27FC236}">
              <a16:creationId xmlns:a16="http://schemas.microsoft.com/office/drawing/2014/main" id="{00000000-0008-0000-0000-0000CC000000}"/>
            </a:ext>
          </a:extLst>
        </xdr:cNvPr>
        <xdr:cNvSpPr/>
      </xdr:nvSpPr>
      <xdr:spPr>
        <a:xfrm>
          <a:off x="40567" y="3436200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162</a:t>
          </a:r>
          <a:endParaRPr lang="en-US" sz="800"/>
        </a:p>
      </xdr:txBody>
    </xdr:sp>
    <xdr:clientData/>
  </xdr:twoCellAnchor>
  <xdr:twoCellAnchor>
    <xdr:from>
      <xdr:col>0</xdr:col>
      <xdr:colOff>24488</xdr:colOff>
      <xdr:row>165</xdr:row>
      <xdr:rowOff>65057</xdr:rowOff>
    </xdr:from>
    <xdr:to>
      <xdr:col>0</xdr:col>
      <xdr:colOff>773697</xdr:colOff>
      <xdr:row>166</xdr:row>
      <xdr:rowOff>19374</xdr:rowOff>
    </xdr:to>
    <xdr:sp macro="[0]!Rectangle204_Click" textlink="">
      <xdr:nvSpPr>
        <xdr:cNvPr id="205" name="Rectangle 204">
          <a:extLst>
            <a:ext uri="{FF2B5EF4-FFF2-40B4-BE49-F238E27FC236}">
              <a16:creationId xmlns:a16="http://schemas.microsoft.com/office/drawing/2014/main" id="{00000000-0008-0000-0000-0000CD000000}"/>
            </a:ext>
          </a:extLst>
        </xdr:cNvPr>
        <xdr:cNvSpPr/>
      </xdr:nvSpPr>
      <xdr:spPr>
        <a:xfrm>
          <a:off x="24488" y="3479361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164</a:t>
          </a:r>
          <a:endParaRPr lang="en-US" sz="800"/>
        </a:p>
      </xdr:txBody>
    </xdr:sp>
    <xdr:clientData/>
  </xdr:twoCellAnchor>
  <xdr:twoCellAnchor>
    <xdr:from>
      <xdr:col>0</xdr:col>
      <xdr:colOff>30701</xdr:colOff>
      <xdr:row>166</xdr:row>
      <xdr:rowOff>62134</xdr:rowOff>
    </xdr:from>
    <xdr:to>
      <xdr:col>0</xdr:col>
      <xdr:colOff>779910</xdr:colOff>
      <xdr:row>167</xdr:row>
      <xdr:rowOff>16450</xdr:rowOff>
    </xdr:to>
    <xdr:sp macro="[0]!Rectangle205_Click" textlink="">
      <xdr:nvSpPr>
        <xdr:cNvPr id="206" name="Rectangle 205">
          <a:extLst>
            <a:ext uri="{FF2B5EF4-FFF2-40B4-BE49-F238E27FC236}">
              <a16:creationId xmlns:a16="http://schemas.microsoft.com/office/drawing/2014/main" id="{00000000-0008-0000-0000-0000CE000000}"/>
            </a:ext>
          </a:extLst>
        </xdr:cNvPr>
        <xdr:cNvSpPr/>
      </xdr:nvSpPr>
      <xdr:spPr>
        <a:xfrm>
          <a:off x="30701" y="3499170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165</a:t>
          </a:r>
          <a:endParaRPr lang="en-US" sz="800"/>
        </a:p>
      </xdr:txBody>
    </xdr:sp>
    <xdr:clientData/>
  </xdr:twoCellAnchor>
  <xdr:twoCellAnchor>
    <xdr:from>
      <xdr:col>0</xdr:col>
      <xdr:colOff>36914</xdr:colOff>
      <xdr:row>167</xdr:row>
      <xdr:rowOff>68346</xdr:rowOff>
    </xdr:from>
    <xdr:to>
      <xdr:col>0</xdr:col>
      <xdr:colOff>786123</xdr:colOff>
      <xdr:row>168</xdr:row>
      <xdr:rowOff>22663</xdr:rowOff>
    </xdr:to>
    <xdr:sp macro="[0]!Rectangle206_Click" textlink="">
      <xdr:nvSpPr>
        <xdr:cNvPr id="207" name="Rectangle 206">
          <a:extLst>
            <a:ext uri="{FF2B5EF4-FFF2-40B4-BE49-F238E27FC236}">
              <a16:creationId xmlns:a16="http://schemas.microsoft.com/office/drawing/2014/main" id="{00000000-0008-0000-0000-0000CF000000}"/>
            </a:ext>
          </a:extLst>
        </xdr:cNvPr>
        <xdr:cNvSpPr/>
      </xdr:nvSpPr>
      <xdr:spPr>
        <a:xfrm>
          <a:off x="36914" y="3519892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166</a:t>
          </a:r>
          <a:endParaRPr lang="en-US" sz="800"/>
        </a:p>
      </xdr:txBody>
    </xdr:sp>
    <xdr:clientData/>
  </xdr:twoCellAnchor>
  <xdr:twoCellAnchor>
    <xdr:from>
      <xdr:col>0</xdr:col>
      <xdr:colOff>43127</xdr:colOff>
      <xdr:row>168</xdr:row>
      <xdr:rowOff>65422</xdr:rowOff>
    </xdr:from>
    <xdr:to>
      <xdr:col>0</xdr:col>
      <xdr:colOff>792336</xdr:colOff>
      <xdr:row>169</xdr:row>
      <xdr:rowOff>19739</xdr:rowOff>
    </xdr:to>
    <xdr:sp macro="[0]!Rectangle207_Click" textlink="">
      <xdr:nvSpPr>
        <xdr:cNvPr id="208" name="Rectangle 207">
          <a:extLst>
            <a:ext uri="{FF2B5EF4-FFF2-40B4-BE49-F238E27FC236}">
              <a16:creationId xmlns:a16="http://schemas.microsoft.com/office/drawing/2014/main" id="{00000000-0008-0000-0000-0000D0000000}"/>
            </a:ext>
          </a:extLst>
        </xdr:cNvPr>
        <xdr:cNvSpPr/>
      </xdr:nvSpPr>
      <xdr:spPr>
        <a:xfrm>
          <a:off x="43127" y="3539700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167</a:t>
          </a:r>
          <a:endParaRPr lang="en-US" sz="800"/>
        </a:p>
      </xdr:txBody>
    </xdr:sp>
    <xdr:clientData/>
  </xdr:twoCellAnchor>
  <xdr:twoCellAnchor>
    <xdr:from>
      <xdr:col>0</xdr:col>
      <xdr:colOff>40203</xdr:colOff>
      <xdr:row>169</xdr:row>
      <xdr:rowOff>62498</xdr:rowOff>
    </xdr:from>
    <xdr:to>
      <xdr:col>0</xdr:col>
      <xdr:colOff>789412</xdr:colOff>
      <xdr:row>170</xdr:row>
      <xdr:rowOff>16815</xdr:rowOff>
    </xdr:to>
    <xdr:sp macro="[0]!Rectangle208_Click" textlink="">
      <xdr:nvSpPr>
        <xdr:cNvPr id="209" name="Rectangle 208">
          <a:extLst>
            <a:ext uri="{FF2B5EF4-FFF2-40B4-BE49-F238E27FC236}">
              <a16:creationId xmlns:a16="http://schemas.microsoft.com/office/drawing/2014/main" id="{00000000-0008-0000-0000-0000D1000000}"/>
            </a:ext>
          </a:extLst>
        </xdr:cNvPr>
        <xdr:cNvSpPr/>
      </xdr:nvSpPr>
      <xdr:spPr>
        <a:xfrm>
          <a:off x="40203" y="3559508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168</a:t>
          </a:r>
          <a:endParaRPr lang="en-US" sz="800"/>
        </a:p>
      </xdr:txBody>
    </xdr:sp>
    <xdr:clientData/>
  </xdr:twoCellAnchor>
  <xdr:twoCellAnchor>
    <xdr:from>
      <xdr:col>0</xdr:col>
      <xdr:colOff>37279</xdr:colOff>
      <xdr:row>170</xdr:row>
      <xdr:rowOff>50437</xdr:rowOff>
    </xdr:from>
    <xdr:to>
      <xdr:col>0</xdr:col>
      <xdr:colOff>786488</xdr:colOff>
      <xdr:row>171</xdr:row>
      <xdr:rowOff>4754</xdr:rowOff>
    </xdr:to>
    <xdr:sp macro="[0]!Rectangle209_Click" textlink="">
      <xdr:nvSpPr>
        <xdr:cNvPr id="210" name="Rectangle 209">
          <a:extLst>
            <a:ext uri="{FF2B5EF4-FFF2-40B4-BE49-F238E27FC236}">
              <a16:creationId xmlns:a16="http://schemas.microsoft.com/office/drawing/2014/main" id="{00000000-0008-0000-0000-0000D2000000}"/>
            </a:ext>
          </a:extLst>
        </xdr:cNvPr>
        <xdr:cNvSpPr/>
      </xdr:nvSpPr>
      <xdr:spPr>
        <a:xfrm>
          <a:off x="37279" y="3578403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169</a:t>
          </a:r>
          <a:endParaRPr lang="en-US" sz="800"/>
        </a:p>
      </xdr:txBody>
    </xdr:sp>
    <xdr:clientData/>
  </xdr:twoCellAnchor>
  <xdr:twoCellAnchor>
    <xdr:from>
      <xdr:col>0</xdr:col>
      <xdr:colOff>27411</xdr:colOff>
      <xdr:row>164</xdr:row>
      <xdr:rowOff>49706</xdr:rowOff>
    </xdr:from>
    <xdr:to>
      <xdr:col>0</xdr:col>
      <xdr:colOff>776620</xdr:colOff>
      <xdr:row>165</xdr:row>
      <xdr:rowOff>4023</xdr:rowOff>
    </xdr:to>
    <xdr:sp macro="[0]!Rectangle210_Click" textlink="">
      <xdr:nvSpPr>
        <xdr:cNvPr id="211" name="Rectangle 210">
          <a:extLst>
            <a:ext uri="{FF2B5EF4-FFF2-40B4-BE49-F238E27FC236}">
              <a16:creationId xmlns:a16="http://schemas.microsoft.com/office/drawing/2014/main" id="{00000000-0008-0000-0000-0000D3000000}"/>
            </a:ext>
          </a:extLst>
        </xdr:cNvPr>
        <xdr:cNvSpPr/>
      </xdr:nvSpPr>
      <xdr:spPr>
        <a:xfrm>
          <a:off x="27411" y="3457726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163</a:t>
          </a:r>
          <a:endParaRPr lang="en-US" sz="800"/>
        </a:p>
      </xdr:txBody>
    </xdr:sp>
    <xdr:clientData/>
  </xdr:twoCellAnchor>
  <xdr:twoCellAnchor>
    <xdr:from>
      <xdr:col>0</xdr:col>
      <xdr:colOff>52262</xdr:colOff>
      <xdr:row>171</xdr:row>
      <xdr:rowOff>28872</xdr:rowOff>
    </xdr:from>
    <xdr:to>
      <xdr:col>0</xdr:col>
      <xdr:colOff>801471</xdr:colOff>
      <xdr:row>171</xdr:row>
      <xdr:rowOff>184196</xdr:rowOff>
    </xdr:to>
    <xdr:sp macro="[0]!Rectangle211_Click" textlink="">
      <xdr:nvSpPr>
        <xdr:cNvPr id="212" name="Rectangle 211">
          <a:extLst>
            <a:ext uri="{FF2B5EF4-FFF2-40B4-BE49-F238E27FC236}">
              <a16:creationId xmlns:a16="http://schemas.microsoft.com/office/drawing/2014/main" id="{00000000-0008-0000-0000-0000D4000000}"/>
            </a:ext>
          </a:extLst>
        </xdr:cNvPr>
        <xdr:cNvSpPr/>
      </xdr:nvSpPr>
      <xdr:spPr>
        <a:xfrm>
          <a:off x="52262" y="3596347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170</a:t>
          </a:r>
          <a:endParaRPr lang="en-US" sz="800"/>
        </a:p>
      </xdr:txBody>
    </xdr:sp>
    <xdr:clientData/>
  </xdr:twoCellAnchor>
  <xdr:twoCellAnchor>
    <xdr:from>
      <xdr:col>0</xdr:col>
      <xdr:colOff>49338</xdr:colOff>
      <xdr:row>172</xdr:row>
      <xdr:rowOff>25948</xdr:rowOff>
    </xdr:from>
    <xdr:to>
      <xdr:col>0</xdr:col>
      <xdr:colOff>798547</xdr:colOff>
      <xdr:row>172</xdr:row>
      <xdr:rowOff>181272</xdr:rowOff>
    </xdr:to>
    <xdr:sp macro="[0]!Rectangle212_Click" textlink="">
      <xdr:nvSpPr>
        <xdr:cNvPr id="213" name="Rectangle 212">
          <a:extLst>
            <a:ext uri="{FF2B5EF4-FFF2-40B4-BE49-F238E27FC236}">
              <a16:creationId xmlns:a16="http://schemas.microsoft.com/office/drawing/2014/main" id="{00000000-0008-0000-0000-0000D5000000}"/>
            </a:ext>
          </a:extLst>
        </xdr:cNvPr>
        <xdr:cNvSpPr/>
      </xdr:nvSpPr>
      <xdr:spPr>
        <a:xfrm>
          <a:off x="49338" y="3616156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171</a:t>
          </a:r>
          <a:endParaRPr lang="en-US" sz="800"/>
        </a:p>
      </xdr:txBody>
    </xdr:sp>
    <xdr:clientData/>
  </xdr:twoCellAnchor>
  <xdr:twoCellAnchor>
    <xdr:from>
      <xdr:col>0</xdr:col>
      <xdr:colOff>55551</xdr:colOff>
      <xdr:row>173</xdr:row>
      <xdr:rowOff>13888</xdr:rowOff>
    </xdr:from>
    <xdr:to>
      <xdr:col>0</xdr:col>
      <xdr:colOff>804760</xdr:colOff>
      <xdr:row>173</xdr:row>
      <xdr:rowOff>169212</xdr:rowOff>
    </xdr:to>
    <xdr:sp macro="[0]!Rectangle213_Click" textlink="">
      <xdr:nvSpPr>
        <xdr:cNvPr id="214" name="Rectangle 213">
          <a:extLst>
            <a:ext uri="{FF2B5EF4-FFF2-40B4-BE49-F238E27FC236}">
              <a16:creationId xmlns:a16="http://schemas.microsoft.com/office/drawing/2014/main" id="{00000000-0008-0000-0000-0000D6000000}"/>
            </a:ext>
          </a:extLst>
        </xdr:cNvPr>
        <xdr:cNvSpPr/>
      </xdr:nvSpPr>
      <xdr:spPr>
        <a:xfrm>
          <a:off x="55551" y="3635050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172</a:t>
          </a:r>
          <a:endParaRPr lang="en-US" sz="800"/>
        </a:p>
      </xdr:txBody>
    </xdr:sp>
    <xdr:clientData/>
  </xdr:twoCellAnchor>
  <xdr:twoCellAnchor>
    <xdr:from>
      <xdr:col>0</xdr:col>
      <xdr:colOff>39472</xdr:colOff>
      <xdr:row>175</xdr:row>
      <xdr:rowOff>43492</xdr:rowOff>
    </xdr:from>
    <xdr:to>
      <xdr:col>0</xdr:col>
      <xdr:colOff>788681</xdr:colOff>
      <xdr:row>175</xdr:row>
      <xdr:rowOff>198816</xdr:rowOff>
    </xdr:to>
    <xdr:sp macro="[0]!Rectangle214_Click" textlink="">
      <xdr:nvSpPr>
        <xdr:cNvPr id="215" name="Rectangle 214">
          <a:extLst>
            <a:ext uri="{FF2B5EF4-FFF2-40B4-BE49-F238E27FC236}">
              <a16:creationId xmlns:a16="http://schemas.microsoft.com/office/drawing/2014/main" id="{00000000-0008-0000-0000-0000D7000000}"/>
            </a:ext>
          </a:extLst>
        </xdr:cNvPr>
        <xdr:cNvSpPr/>
      </xdr:nvSpPr>
      <xdr:spPr>
        <a:xfrm>
          <a:off x="39472" y="3678212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174</a:t>
          </a:r>
          <a:endParaRPr lang="en-US" sz="800"/>
        </a:p>
      </xdr:txBody>
    </xdr:sp>
    <xdr:clientData/>
  </xdr:twoCellAnchor>
  <xdr:twoCellAnchor>
    <xdr:from>
      <xdr:col>0</xdr:col>
      <xdr:colOff>45685</xdr:colOff>
      <xdr:row>176</xdr:row>
      <xdr:rowOff>40569</xdr:rowOff>
    </xdr:from>
    <xdr:to>
      <xdr:col>0</xdr:col>
      <xdr:colOff>794894</xdr:colOff>
      <xdr:row>176</xdr:row>
      <xdr:rowOff>195893</xdr:rowOff>
    </xdr:to>
    <xdr:sp macro="[0]!Rectangle215_Click" textlink="">
      <xdr:nvSpPr>
        <xdr:cNvPr id="216" name="Rectangle 215">
          <a:extLst>
            <a:ext uri="{FF2B5EF4-FFF2-40B4-BE49-F238E27FC236}">
              <a16:creationId xmlns:a16="http://schemas.microsoft.com/office/drawing/2014/main" id="{00000000-0008-0000-0000-0000D8000000}"/>
            </a:ext>
          </a:extLst>
        </xdr:cNvPr>
        <xdr:cNvSpPr/>
      </xdr:nvSpPr>
      <xdr:spPr>
        <a:xfrm>
          <a:off x="45685" y="3698020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175</a:t>
          </a:r>
          <a:endParaRPr lang="en-US" sz="800"/>
        </a:p>
      </xdr:txBody>
    </xdr:sp>
    <xdr:clientData/>
  </xdr:twoCellAnchor>
  <xdr:twoCellAnchor>
    <xdr:from>
      <xdr:col>0</xdr:col>
      <xdr:colOff>51898</xdr:colOff>
      <xdr:row>177</xdr:row>
      <xdr:rowOff>46782</xdr:rowOff>
    </xdr:from>
    <xdr:to>
      <xdr:col>0</xdr:col>
      <xdr:colOff>801107</xdr:colOff>
      <xdr:row>178</xdr:row>
      <xdr:rowOff>1098</xdr:rowOff>
    </xdr:to>
    <xdr:sp macro="[0]!Rectangle216_Click" textlink="">
      <xdr:nvSpPr>
        <xdr:cNvPr id="217" name="Rectangle 216">
          <a:extLst>
            <a:ext uri="{FF2B5EF4-FFF2-40B4-BE49-F238E27FC236}">
              <a16:creationId xmlns:a16="http://schemas.microsoft.com/office/drawing/2014/main" id="{00000000-0008-0000-0000-0000D9000000}"/>
            </a:ext>
          </a:extLst>
        </xdr:cNvPr>
        <xdr:cNvSpPr/>
      </xdr:nvSpPr>
      <xdr:spPr>
        <a:xfrm>
          <a:off x="51898" y="3718742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176</a:t>
          </a:r>
          <a:endParaRPr lang="en-US" sz="800"/>
        </a:p>
      </xdr:txBody>
    </xdr:sp>
    <xdr:clientData/>
  </xdr:twoCellAnchor>
  <xdr:twoCellAnchor>
    <xdr:from>
      <xdr:col>0</xdr:col>
      <xdr:colOff>58111</xdr:colOff>
      <xdr:row>178</xdr:row>
      <xdr:rowOff>43857</xdr:rowOff>
    </xdr:from>
    <xdr:to>
      <xdr:col>0</xdr:col>
      <xdr:colOff>807320</xdr:colOff>
      <xdr:row>178</xdr:row>
      <xdr:rowOff>199181</xdr:rowOff>
    </xdr:to>
    <xdr:sp macro="[0]!Rectangle217_Click" textlink="">
      <xdr:nvSpPr>
        <xdr:cNvPr id="218" name="Rectangle 217">
          <a:extLst>
            <a:ext uri="{FF2B5EF4-FFF2-40B4-BE49-F238E27FC236}">
              <a16:creationId xmlns:a16="http://schemas.microsoft.com/office/drawing/2014/main" id="{00000000-0008-0000-0000-0000DA000000}"/>
            </a:ext>
          </a:extLst>
        </xdr:cNvPr>
        <xdr:cNvSpPr/>
      </xdr:nvSpPr>
      <xdr:spPr>
        <a:xfrm>
          <a:off x="58111" y="3738551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177</a:t>
          </a:r>
          <a:endParaRPr lang="en-US" sz="800"/>
        </a:p>
      </xdr:txBody>
    </xdr:sp>
    <xdr:clientData/>
  </xdr:twoCellAnchor>
  <xdr:twoCellAnchor>
    <xdr:from>
      <xdr:col>0</xdr:col>
      <xdr:colOff>55187</xdr:colOff>
      <xdr:row>179</xdr:row>
      <xdr:rowOff>40933</xdr:rowOff>
    </xdr:from>
    <xdr:to>
      <xdr:col>0</xdr:col>
      <xdr:colOff>804396</xdr:colOff>
      <xdr:row>179</xdr:row>
      <xdr:rowOff>196257</xdr:rowOff>
    </xdr:to>
    <xdr:sp macro="[0]!Rectangle218_Click" textlink="">
      <xdr:nvSpPr>
        <xdr:cNvPr id="219" name="Rectangle 218">
          <a:extLst>
            <a:ext uri="{FF2B5EF4-FFF2-40B4-BE49-F238E27FC236}">
              <a16:creationId xmlns:a16="http://schemas.microsoft.com/office/drawing/2014/main" id="{00000000-0008-0000-0000-0000DB000000}"/>
            </a:ext>
          </a:extLst>
        </xdr:cNvPr>
        <xdr:cNvSpPr/>
      </xdr:nvSpPr>
      <xdr:spPr>
        <a:xfrm>
          <a:off x="55187" y="3758359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178</a:t>
          </a:r>
          <a:endParaRPr lang="en-US" sz="800"/>
        </a:p>
      </xdr:txBody>
    </xdr:sp>
    <xdr:clientData/>
  </xdr:twoCellAnchor>
  <xdr:twoCellAnchor>
    <xdr:from>
      <xdr:col>0</xdr:col>
      <xdr:colOff>52263</xdr:colOff>
      <xdr:row>180</xdr:row>
      <xdr:rowOff>28872</xdr:rowOff>
    </xdr:from>
    <xdr:to>
      <xdr:col>0</xdr:col>
      <xdr:colOff>801472</xdr:colOff>
      <xdr:row>180</xdr:row>
      <xdr:rowOff>184196</xdr:rowOff>
    </xdr:to>
    <xdr:sp macro="[0]!Rectangle219_Click" textlink="">
      <xdr:nvSpPr>
        <xdr:cNvPr id="220" name="Rectangle 219">
          <a:extLst>
            <a:ext uri="{FF2B5EF4-FFF2-40B4-BE49-F238E27FC236}">
              <a16:creationId xmlns:a16="http://schemas.microsoft.com/office/drawing/2014/main" id="{00000000-0008-0000-0000-0000DC000000}"/>
            </a:ext>
          </a:extLst>
        </xdr:cNvPr>
        <xdr:cNvSpPr/>
      </xdr:nvSpPr>
      <xdr:spPr>
        <a:xfrm>
          <a:off x="52263" y="3777254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179</a:t>
          </a:r>
          <a:endParaRPr lang="en-US" sz="800"/>
        </a:p>
      </xdr:txBody>
    </xdr:sp>
    <xdr:clientData/>
  </xdr:twoCellAnchor>
  <xdr:twoCellAnchor>
    <xdr:from>
      <xdr:col>0</xdr:col>
      <xdr:colOff>42395</xdr:colOff>
      <xdr:row>174</xdr:row>
      <xdr:rowOff>28141</xdr:rowOff>
    </xdr:from>
    <xdr:to>
      <xdr:col>0</xdr:col>
      <xdr:colOff>791604</xdr:colOff>
      <xdr:row>174</xdr:row>
      <xdr:rowOff>183465</xdr:rowOff>
    </xdr:to>
    <xdr:sp macro="[0]!Rectangle220_Click" textlink="">
      <xdr:nvSpPr>
        <xdr:cNvPr id="221" name="Rectangle 220">
          <a:extLst>
            <a:ext uri="{FF2B5EF4-FFF2-40B4-BE49-F238E27FC236}">
              <a16:creationId xmlns:a16="http://schemas.microsoft.com/office/drawing/2014/main" id="{00000000-0008-0000-0000-0000DD000000}"/>
            </a:ext>
          </a:extLst>
        </xdr:cNvPr>
        <xdr:cNvSpPr/>
      </xdr:nvSpPr>
      <xdr:spPr>
        <a:xfrm>
          <a:off x="42395" y="3656576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173</a:t>
          </a:r>
          <a:endParaRPr lang="en-US" sz="800"/>
        </a:p>
      </xdr:txBody>
    </xdr:sp>
    <xdr:clientData/>
  </xdr:twoCellAnchor>
  <xdr:twoCellAnchor>
    <xdr:from>
      <xdr:col>0</xdr:col>
      <xdr:colOff>49338</xdr:colOff>
      <xdr:row>181</xdr:row>
      <xdr:rowOff>35085</xdr:rowOff>
    </xdr:from>
    <xdr:to>
      <xdr:col>0</xdr:col>
      <xdr:colOff>798547</xdr:colOff>
      <xdr:row>181</xdr:row>
      <xdr:rowOff>190409</xdr:rowOff>
    </xdr:to>
    <xdr:sp macro="[0]!Rectangle221_Click" textlink="">
      <xdr:nvSpPr>
        <xdr:cNvPr id="222" name="Rectangle 221">
          <a:extLst>
            <a:ext uri="{FF2B5EF4-FFF2-40B4-BE49-F238E27FC236}">
              <a16:creationId xmlns:a16="http://schemas.microsoft.com/office/drawing/2014/main" id="{00000000-0008-0000-0000-0000DE000000}"/>
            </a:ext>
          </a:extLst>
        </xdr:cNvPr>
        <xdr:cNvSpPr/>
      </xdr:nvSpPr>
      <xdr:spPr>
        <a:xfrm>
          <a:off x="49338" y="3797976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180</a:t>
          </a:r>
          <a:endParaRPr lang="en-US" sz="800"/>
        </a:p>
      </xdr:txBody>
    </xdr:sp>
    <xdr:clientData/>
  </xdr:twoCellAnchor>
  <xdr:twoCellAnchor>
    <xdr:from>
      <xdr:col>0</xdr:col>
      <xdr:colOff>46414</xdr:colOff>
      <xdr:row>182</xdr:row>
      <xdr:rowOff>32162</xdr:rowOff>
    </xdr:from>
    <xdr:to>
      <xdr:col>0</xdr:col>
      <xdr:colOff>795623</xdr:colOff>
      <xdr:row>182</xdr:row>
      <xdr:rowOff>187486</xdr:rowOff>
    </xdr:to>
    <xdr:sp macro="[0]!Rectangle222_Click" textlink="">
      <xdr:nvSpPr>
        <xdr:cNvPr id="223" name="Rectangle 222">
          <a:extLst>
            <a:ext uri="{FF2B5EF4-FFF2-40B4-BE49-F238E27FC236}">
              <a16:creationId xmlns:a16="http://schemas.microsoft.com/office/drawing/2014/main" id="{00000000-0008-0000-0000-0000DF000000}"/>
            </a:ext>
          </a:extLst>
        </xdr:cNvPr>
        <xdr:cNvSpPr/>
      </xdr:nvSpPr>
      <xdr:spPr>
        <a:xfrm>
          <a:off x="46414" y="3817784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181</a:t>
          </a:r>
          <a:endParaRPr lang="en-US" sz="800"/>
        </a:p>
      </xdr:txBody>
    </xdr:sp>
    <xdr:clientData/>
  </xdr:twoCellAnchor>
  <xdr:twoCellAnchor>
    <xdr:from>
      <xdr:col>0</xdr:col>
      <xdr:colOff>52627</xdr:colOff>
      <xdr:row>183</xdr:row>
      <xdr:rowOff>20101</xdr:rowOff>
    </xdr:from>
    <xdr:to>
      <xdr:col>0</xdr:col>
      <xdr:colOff>801836</xdr:colOff>
      <xdr:row>183</xdr:row>
      <xdr:rowOff>175425</xdr:rowOff>
    </xdr:to>
    <xdr:sp macro="[0]!Rectangle223_Click" textlink="">
      <xdr:nvSpPr>
        <xdr:cNvPr id="224" name="Rectangle 223">
          <a:extLst>
            <a:ext uri="{FF2B5EF4-FFF2-40B4-BE49-F238E27FC236}">
              <a16:creationId xmlns:a16="http://schemas.microsoft.com/office/drawing/2014/main" id="{00000000-0008-0000-0000-0000E0000000}"/>
            </a:ext>
          </a:extLst>
        </xdr:cNvPr>
        <xdr:cNvSpPr/>
      </xdr:nvSpPr>
      <xdr:spPr>
        <a:xfrm>
          <a:off x="52627" y="3836679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182</a:t>
          </a:r>
          <a:endParaRPr lang="en-US" sz="800"/>
        </a:p>
      </xdr:txBody>
    </xdr:sp>
    <xdr:clientData/>
  </xdr:twoCellAnchor>
  <xdr:twoCellAnchor>
    <xdr:from>
      <xdr:col>0</xdr:col>
      <xdr:colOff>36548</xdr:colOff>
      <xdr:row>185</xdr:row>
      <xdr:rowOff>49705</xdr:rowOff>
    </xdr:from>
    <xdr:to>
      <xdr:col>0</xdr:col>
      <xdr:colOff>785757</xdr:colOff>
      <xdr:row>186</xdr:row>
      <xdr:rowOff>4022</xdr:rowOff>
    </xdr:to>
    <xdr:sp macro="[0]!Rectangle224_Click" textlink="">
      <xdr:nvSpPr>
        <xdr:cNvPr id="225" name="Rectangle 224">
          <a:extLst>
            <a:ext uri="{FF2B5EF4-FFF2-40B4-BE49-F238E27FC236}">
              <a16:creationId xmlns:a16="http://schemas.microsoft.com/office/drawing/2014/main" id="{00000000-0008-0000-0000-0000E1000000}"/>
            </a:ext>
          </a:extLst>
        </xdr:cNvPr>
        <xdr:cNvSpPr/>
      </xdr:nvSpPr>
      <xdr:spPr>
        <a:xfrm>
          <a:off x="36548" y="3879841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184</a:t>
          </a:r>
          <a:endParaRPr lang="en-US" sz="800"/>
        </a:p>
      </xdr:txBody>
    </xdr:sp>
    <xdr:clientData/>
  </xdr:twoCellAnchor>
  <xdr:twoCellAnchor>
    <xdr:from>
      <xdr:col>0</xdr:col>
      <xdr:colOff>42761</xdr:colOff>
      <xdr:row>186</xdr:row>
      <xdr:rowOff>46782</xdr:rowOff>
    </xdr:from>
    <xdr:to>
      <xdr:col>0</xdr:col>
      <xdr:colOff>791970</xdr:colOff>
      <xdr:row>187</xdr:row>
      <xdr:rowOff>1099</xdr:rowOff>
    </xdr:to>
    <xdr:sp macro="[0]!Rectangle225_Click" textlink="">
      <xdr:nvSpPr>
        <xdr:cNvPr id="226" name="Rectangle 225">
          <a:extLst>
            <a:ext uri="{FF2B5EF4-FFF2-40B4-BE49-F238E27FC236}">
              <a16:creationId xmlns:a16="http://schemas.microsoft.com/office/drawing/2014/main" id="{00000000-0008-0000-0000-0000E2000000}"/>
            </a:ext>
          </a:extLst>
        </xdr:cNvPr>
        <xdr:cNvSpPr/>
      </xdr:nvSpPr>
      <xdr:spPr>
        <a:xfrm>
          <a:off x="42761" y="3899649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185</a:t>
          </a:r>
          <a:endParaRPr lang="en-US" sz="800"/>
        </a:p>
      </xdr:txBody>
    </xdr:sp>
    <xdr:clientData/>
  </xdr:twoCellAnchor>
  <xdr:twoCellAnchor>
    <xdr:from>
      <xdr:col>0</xdr:col>
      <xdr:colOff>48974</xdr:colOff>
      <xdr:row>187</xdr:row>
      <xdr:rowOff>52995</xdr:rowOff>
    </xdr:from>
    <xdr:to>
      <xdr:col>0</xdr:col>
      <xdr:colOff>798183</xdr:colOff>
      <xdr:row>188</xdr:row>
      <xdr:rowOff>7311</xdr:rowOff>
    </xdr:to>
    <xdr:sp macro="[0]!Rectangle226_Click" textlink="">
      <xdr:nvSpPr>
        <xdr:cNvPr id="227" name="Rectangle 226">
          <a:extLst>
            <a:ext uri="{FF2B5EF4-FFF2-40B4-BE49-F238E27FC236}">
              <a16:creationId xmlns:a16="http://schemas.microsoft.com/office/drawing/2014/main" id="{00000000-0008-0000-0000-0000E3000000}"/>
            </a:ext>
          </a:extLst>
        </xdr:cNvPr>
        <xdr:cNvSpPr/>
      </xdr:nvSpPr>
      <xdr:spPr>
        <a:xfrm>
          <a:off x="48974" y="3920371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186</a:t>
          </a:r>
          <a:endParaRPr lang="en-US" sz="800"/>
        </a:p>
      </xdr:txBody>
    </xdr:sp>
    <xdr:clientData/>
  </xdr:twoCellAnchor>
  <xdr:twoCellAnchor>
    <xdr:from>
      <xdr:col>0</xdr:col>
      <xdr:colOff>55187</xdr:colOff>
      <xdr:row>188</xdr:row>
      <xdr:rowOff>50070</xdr:rowOff>
    </xdr:from>
    <xdr:to>
      <xdr:col>0</xdr:col>
      <xdr:colOff>804396</xdr:colOff>
      <xdr:row>189</xdr:row>
      <xdr:rowOff>4387</xdr:rowOff>
    </xdr:to>
    <xdr:sp macro="[0]!Rectangle227_Click" textlink="">
      <xdr:nvSpPr>
        <xdr:cNvPr id="228" name="Rectangle 227">
          <a:extLst>
            <a:ext uri="{FF2B5EF4-FFF2-40B4-BE49-F238E27FC236}">
              <a16:creationId xmlns:a16="http://schemas.microsoft.com/office/drawing/2014/main" id="{00000000-0008-0000-0000-0000E4000000}"/>
            </a:ext>
          </a:extLst>
        </xdr:cNvPr>
        <xdr:cNvSpPr/>
      </xdr:nvSpPr>
      <xdr:spPr>
        <a:xfrm>
          <a:off x="55187" y="3940179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187</a:t>
          </a:r>
          <a:endParaRPr lang="en-US" sz="800"/>
        </a:p>
      </xdr:txBody>
    </xdr:sp>
    <xdr:clientData/>
  </xdr:twoCellAnchor>
  <xdr:twoCellAnchor>
    <xdr:from>
      <xdr:col>0</xdr:col>
      <xdr:colOff>52263</xdr:colOff>
      <xdr:row>189</xdr:row>
      <xdr:rowOff>47146</xdr:rowOff>
    </xdr:from>
    <xdr:to>
      <xdr:col>0</xdr:col>
      <xdr:colOff>801472</xdr:colOff>
      <xdr:row>190</xdr:row>
      <xdr:rowOff>1463</xdr:rowOff>
    </xdr:to>
    <xdr:sp macro="[0]!Rectangle228_Click" textlink="">
      <xdr:nvSpPr>
        <xdr:cNvPr id="229" name="Rectangle 228">
          <a:extLst>
            <a:ext uri="{FF2B5EF4-FFF2-40B4-BE49-F238E27FC236}">
              <a16:creationId xmlns:a16="http://schemas.microsoft.com/office/drawing/2014/main" id="{00000000-0008-0000-0000-0000E5000000}"/>
            </a:ext>
          </a:extLst>
        </xdr:cNvPr>
        <xdr:cNvSpPr/>
      </xdr:nvSpPr>
      <xdr:spPr>
        <a:xfrm>
          <a:off x="52263" y="3959988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188</a:t>
          </a:r>
          <a:endParaRPr lang="en-US" sz="800"/>
        </a:p>
      </xdr:txBody>
    </xdr:sp>
    <xdr:clientData/>
  </xdr:twoCellAnchor>
  <xdr:twoCellAnchor>
    <xdr:from>
      <xdr:col>0</xdr:col>
      <xdr:colOff>49339</xdr:colOff>
      <xdr:row>190</xdr:row>
      <xdr:rowOff>35085</xdr:rowOff>
    </xdr:from>
    <xdr:to>
      <xdr:col>0</xdr:col>
      <xdr:colOff>798548</xdr:colOff>
      <xdr:row>190</xdr:row>
      <xdr:rowOff>190409</xdr:rowOff>
    </xdr:to>
    <xdr:sp macro="[0]!Rectangle229_Click" textlink="">
      <xdr:nvSpPr>
        <xdr:cNvPr id="230" name="Rectangle 229">
          <a:extLst>
            <a:ext uri="{FF2B5EF4-FFF2-40B4-BE49-F238E27FC236}">
              <a16:creationId xmlns:a16="http://schemas.microsoft.com/office/drawing/2014/main" id="{00000000-0008-0000-0000-0000E6000000}"/>
            </a:ext>
          </a:extLst>
        </xdr:cNvPr>
        <xdr:cNvSpPr/>
      </xdr:nvSpPr>
      <xdr:spPr>
        <a:xfrm>
          <a:off x="49339" y="3978882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189</a:t>
          </a:r>
          <a:endParaRPr lang="en-US" sz="800"/>
        </a:p>
      </xdr:txBody>
    </xdr:sp>
    <xdr:clientData/>
  </xdr:twoCellAnchor>
  <xdr:twoCellAnchor>
    <xdr:from>
      <xdr:col>0</xdr:col>
      <xdr:colOff>39471</xdr:colOff>
      <xdr:row>184</xdr:row>
      <xdr:rowOff>34354</xdr:rowOff>
    </xdr:from>
    <xdr:to>
      <xdr:col>0</xdr:col>
      <xdr:colOff>788680</xdr:colOff>
      <xdr:row>184</xdr:row>
      <xdr:rowOff>189678</xdr:rowOff>
    </xdr:to>
    <xdr:sp macro="[0]!Rectangle230_Click" textlink="">
      <xdr:nvSpPr>
        <xdr:cNvPr id="231" name="Rectangle 230">
          <a:extLst>
            <a:ext uri="{FF2B5EF4-FFF2-40B4-BE49-F238E27FC236}">
              <a16:creationId xmlns:a16="http://schemas.microsoft.com/office/drawing/2014/main" id="{00000000-0008-0000-0000-0000E7000000}"/>
            </a:ext>
          </a:extLst>
        </xdr:cNvPr>
        <xdr:cNvSpPr/>
      </xdr:nvSpPr>
      <xdr:spPr>
        <a:xfrm>
          <a:off x="39471" y="38582052"/>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183</a:t>
          </a:r>
          <a:endParaRPr lang="en-US" sz="800"/>
        </a:p>
      </xdr:txBody>
    </xdr:sp>
    <xdr:clientData/>
  </xdr:twoCellAnchor>
  <xdr:twoCellAnchor>
    <xdr:from>
      <xdr:col>0</xdr:col>
      <xdr:colOff>46414</xdr:colOff>
      <xdr:row>191</xdr:row>
      <xdr:rowOff>32162</xdr:rowOff>
    </xdr:from>
    <xdr:to>
      <xdr:col>0</xdr:col>
      <xdr:colOff>795623</xdr:colOff>
      <xdr:row>191</xdr:row>
      <xdr:rowOff>187486</xdr:rowOff>
    </xdr:to>
    <xdr:sp macro="[0]!Rectangle231_Click" textlink="">
      <xdr:nvSpPr>
        <xdr:cNvPr id="232" name="Rectangle 231">
          <a:extLst>
            <a:ext uri="{FF2B5EF4-FFF2-40B4-BE49-F238E27FC236}">
              <a16:creationId xmlns:a16="http://schemas.microsoft.com/office/drawing/2014/main" id="{00000000-0008-0000-0000-0000E8000000}"/>
            </a:ext>
          </a:extLst>
        </xdr:cNvPr>
        <xdr:cNvSpPr/>
      </xdr:nvSpPr>
      <xdr:spPr>
        <a:xfrm>
          <a:off x="46414" y="3998691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190</a:t>
          </a:r>
          <a:endParaRPr lang="en-US" sz="800"/>
        </a:p>
      </xdr:txBody>
    </xdr:sp>
    <xdr:clientData/>
  </xdr:twoCellAnchor>
  <xdr:twoCellAnchor>
    <xdr:from>
      <xdr:col>0</xdr:col>
      <xdr:colOff>43490</xdr:colOff>
      <xdr:row>192</xdr:row>
      <xdr:rowOff>29239</xdr:rowOff>
    </xdr:from>
    <xdr:to>
      <xdr:col>0</xdr:col>
      <xdr:colOff>792699</xdr:colOff>
      <xdr:row>192</xdr:row>
      <xdr:rowOff>184563</xdr:rowOff>
    </xdr:to>
    <xdr:sp macro="[0]!Rectangle232_Click" textlink="">
      <xdr:nvSpPr>
        <xdr:cNvPr id="233" name="Rectangle 232">
          <a:extLst>
            <a:ext uri="{FF2B5EF4-FFF2-40B4-BE49-F238E27FC236}">
              <a16:creationId xmlns:a16="http://schemas.microsoft.com/office/drawing/2014/main" id="{00000000-0008-0000-0000-0000E9000000}"/>
            </a:ext>
          </a:extLst>
        </xdr:cNvPr>
        <xdr:cNvSpPr/>
      </xdr:nvSpPr>
      <xdr:spPr>
        <a:xfrm>
          <a:off x="43490" y="4018499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191</a:t>
          </a:r>
          <a:endParaRPr lang="en-US" sz="800"/>
        </a:p>
      </xdr:txBody>
    </xdr:sp>
    <xdr:clientData/>
  </xdr:twoCellAnchor>
  <xdr:twoCellAnchor>
    <xdr:from>
      <xdr:col>0</xdr:col>
      <xdr:colOff>49703</xdr:colOff>
      <xdr:row>193</xdr:row>
      <xdr:rowOff>17178</xdr:rowOff>
    </xdr:from>
    <xdr:to>
      <xdr:col>0</xdr:col>
      <xdr:colOff>798912</xdr:colOff>
      <xdr:row>193</xdr:row>
      <xdr:rowOff>172502</xdr:rowOff>
    </xdr:to>
    <xdr:sp macro="[0]!Rectangle233_Click" textlink="">
      <xdr:nvSpPr>
        <xdr:cNvPr id="234" name="Rectangle 233">
          <a:extLst>
            <a:ext uri="{FF2B5EF4-FFF2-40B4-BE49-F238E27FC236}">
              <a16:creationId xmlns:a16="http://schemas.microsoft.com/office/drawing/2014/main" id="{00000000-0008-0000-0000-0000EA000000}"/>
            </a:ext>
          </a:extLst>
        </xdr:cNvPr>
        <xdr:cNvSpPr/>
      </xdr:nvSpPr>
      <xdr:spPr>
        <a:xfrm>
          <a:off x="49703" y="4037394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192</a:t>
          </a:r>
          <a:endParaRPr lang="en-US" sz="800"/>
        </a:p>
      </xdr:txBody>
    </xdr:sp>
    <xdr:clientData/>
  </xdr:twoCellAnchor>
  <xdr:twoCellAnchor>
    <xdr:from>
      <xdr:col>0</xdr:col>
      <xdr:colOff>33624</xdr:colOff>
      <xdr:row>195</xdr:row>
      <xdr:rowOff>46782</xdr:rowOff>
    </xdr:from>
    <xdr:to>
      <xdr:col>0</xdr:col>
      <xdr:colOff>782833</xdr:colOff>
      <xdr:row>196</xdr:row>
      <xdr:rowOff>1099</xdr:rowOff>
    </xdr:to>
    <xdr:sp macro="[0]!Rectangle234_Click" textlink="">
      <xdr:nvSpPr>
        <xdr:cNvPr id="235" name="Rectangle 234">
          <a:extLst>
            <a:ext uri="{FF2B5EF4-FFF2-40B4-BE49-F238E27FC236}">
              <a16:creationId xmlns:a16="http://schemas.microsoft.com/office/drawing/2014/main" id="{00000000-0008-0000-0000-0000EB000000}"/>
            </a:ext>
          </a:extLst>
        </xdr:cNvPr>
        <xdr:cNvSpPr/>
      </xdr:nvSpPr>
      <xdr:spPr>
        <a:xfrm>
          <a:off x="33624" y="4080555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194</a:t>
          </a:r>
          <a:endParaRPr lang="en-US" sz="800"/>
        </a:p>
      </xdr:txBody>
    </xdr:sp>
    <xdr:clientData/>
  </xdr:twoCellAnchor>
  <xdr:twoCellAnchor>
    <xdr:from>
      <xdr:col>0</xdr:col>
      <xdr:colOff>39837</xdr:colOff>
      <xdr:row>196</xdr:row>
      <xdr:rowOff>43859</xdr:rowOff>
    </xdr:from>
    <xdr:to>
      <xdr:col>0</xdr:col>
      <xdr:colOff>789046</xdr:colOff>
      <xdr:row>196</xdr:row>
      <xdr:rowOff>199183</xdr:rowOff>
    </xdr:to>
    <xdr:sp macro="[0]!Rectangle235_Click" textlink="">
      <xdr:nvSpPr>
        <xdr:cNvPr id="236" name="Rectangle 235">
          <a:extLst>
            <a:ext uri="{FF2B5EF4-FFF2-40B4-BE49-F238E27FC236}">
              <a16:creationId xmlns:a16="http://schemas.microsoft.com/office/drawing/2014/main" id="{00000000-0008-0000-0000-0000EC000000}"/>
            </a:ext>
          </a:extLst>
        </xdr:cNvPr>
        <xdr:cNvSpPr/>
      </xdr:nvSpPr>
      <xdr:spPr>
        <a:xfrm>
          <a:off x="39837" y="4100364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195</a:t>
          </a:r>
          <a:endParaRPr lang="en-US" sz="800"/>
        </a:p>
      </xdr:txBody>
    </xdr:sp>
    <xdr:clientData/>
  </xdr:twoCellAnchor>
  <xdr:twoCellAnchor>
    <xdr:from>
      <xdr:col>0</xdr:col>
      <xdr:colOff>46050</xdr:colOff>
      <xdr:row>197</xdr:row>
      <xdr:rowOff>50072</xdr:rowOff>
    </xdr:from>
    <xdr:to>
      <xdr:col>0</xdr:col>
      <xdr:colOff>795259</xdr:colOff>
      <xdr:row>198</xdr:row>
      <xdr:rowOff>4388</xdr:rowOff>
    </xdr:to>
    <xdr:sp macro="[0]!Rectangle236_Click" textlink="">
      <xdr:nvSpPr>
        <xdr:cNvPr id="237" name="Rectangle 236">
          <a:extLst>
            <a:ext uri="{FF2B5EF4-FFF2-40B4-BE49-F238E27FC236}">
              <a16:creationId xmlns:a16="http://schemas.microsoft.com/office/drawing/2014/main" id="{00000000-0008-0000-0000-0000ED000000}"/>
            </a:ext>
          </a:extLst>
        </xdr:cNvPr>
        <xdr:cNvSpPr/>
      </xdr:nvSpPr>
      <xdr:spPr>
        <a:xfrm>
          <a:off x="46050" y="41210863"/>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196</a:t>
          </a:r>
          <a:endParaRPr lang="en-US" sz="800"/>
        </a:p>
      </xdr:txBody>
    </xdr:sp>
    <xdr:clientData/>
  </xdr:twoCellAnchor>
  <xdr:twoCellAnchor>
    <xdr:from>
      <xdr:col>0</xdr:col>
      <xdr:colOff>52263</xdr:colOff>
      <xdr:row>198</xdr:row>
      <xdr:rowOff>47147</xdr:rowOff>
    </xdr:from>
    <xdr:to>
      <xdr:col>0</xdr:col>
      <xdr:colOff>801472</xdr:colOff>
      <xdr:row>199</xdr:row>
      <xdr:rowOff>1464</xdr:rowOff>
    </xdr:to>
    <xdr:sp macro="[0]!Rectangle237_Click" textlink="">
      <xdr:nvSpPr>
        <xdr:cNvPr id="238" name="Rectangle 237">
          <a:extLst>
            <a:ext uri="{FF2B5EF4-FFF2-40B4-BE49-F238E27FC236}">
              <a16:creationId xmlns:a16="http://schemas.microsoft.com/office/drawing/2014/main" id="{00000000-0008-0000-0000-0000EE000000}"/>
            </a:ext>
          </a:extLst>
        </xdr:cNvPr>
        <xdr:cNvSpPr/>
      </xdr:nvSpPr>
      <xdr:spPr>
        <a:xfrm>
          <a:off x="52263" y="4140894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197</a:t>
          </a:r>
          <a:endParaRPr lang="en-US" sz="800"/>
        </a:p>
      </xdr:txBody>
    </xdr:sp>
    <xdr:clientData/>
  </xdr:twoCellAnchor>
  <xdr:twoCellAnchor>
    <xdr:from>
      <xdr:col>0</xdr:col>
      <xdr:colOff>49339</xdr:colOff>
      <xdr:row>199</xdr:row>
      <xdr:rowOff>44223</xdr:rowOff>
    </xdr:from>
    <xdr:to>
      <xdr:col>0</xdr:col>
      <xdr:colOff>798548</xdr:colOff>
      <xdr:row>199</xdr:row>
      <xdr:rowOff>199547</xdr:rowOff>
    </xdr:to>
    <xdr:sp macro="[0]!Rectangle238_Click" textlink="">
      <xdr:nvSpPr>
        <xdr:cNvPr id="239" name="Rectangle 238">
          <a:extLst>
            <a:ext uri="{FF2B5EF4-FFF2-40B4-BE49-F238E27FC236}">
              <a16:creationId xmlns:a16="http://schemas.microsoft.com/office/drawing/2014/main" id="{00000000-0008-0000-0000-0000EF000000}"/>
            </a:ext>
          </a:extLst>
        </xdr:cNvPr>
        <xdr:cNvSpPr/>
      </xdr:nvSpPr>
      <xdr:spPr>
        <a:xfrm>
          <a:off x="49339" y="4160702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198</a:t>
          </a:r>
          <a:endParaRPr lang="en-US" sz="800"/>
        </a:p>
      </xdr:txBody>
    </xdr:sp>
    <xdr:clientData/>
  </xdr:twoCellAnchor>
  <xdr:twoCellAnchor>
    <xdr:from>
      <xdr:col>0</xdr:col>
      <xdr:colOff>46415</xdr:colOff>
      <xdr:row>200</xdr:row>
      <xdr:rowOff>32162</xdr:rowOff>
    </xdr:from>
    <xdr:to>
      <xdr:col>0</xdr:col>
      <xdr:colOff>795624</xdr:colOff>
      <xdr:row>200</xdr:row>
      <xdr:rowOff>187486</xdr:rowOff>
    </xdr:to>
    <xdr:sp macro="[0]!Rectangle239_Click" textlink="">
      <xdr:nvSpPr>
        <xdr:cNvPr id="240" name="Rectangle 239">
          <a:extLst>
            <a:ext uri="{FF2B5EF4-FFF2-40B4-BE49-F238E27FC236}">
              <a16:creationId xmlns:a16="http://schemas.microsoft.com/office/drawing/2014/main" id="{00000000-0008-0000-0000-0000F0000000}"/>
            </a:ext>
          </a:extLst>
        </xdr:cNvPr>
        <xdr:cNvSpPr/>
      </xdr:nvSpPr>
      <xdr:spPr>
        <a:xfrm>
          <a:off x="46415" y="4179597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199</a:t>
          </a:r>
          <a:endParaRPr lang="en-US" sz="800"/>
        </a:p>
      </xdr:txBody>
    </xdr:sp>
    <xdr:clientData/>
  </xdr:twoCellAnchor>
  <xdr:twoCellAnchor>
    <xdr:from>
      <xdr:col>0</xdr:col>
      <xdr:colOff>36547</xdr:colOff>
      <xdr:row>194</xdr:row>
      <xdr:rowOff>31431</xdr:rowOff>
    </xdr:from>
    <xdr:to>
      <xdr:col>0</xdr:col>
      <xdr:colOff>785756</xdr:colOff>
      <xdr:row>194</xdr:row>
      <xdr:rowOff>186755</xdr:rowOff>
    </xdr:to>
    <xdr:sp macro="[0]!Rectangle240_Click" textlink="">
      <xdr:nvSpPr>
        <xdr:cNvPr id="241" name="Rectangle 240">
          <a:extLst>
            <a:ext uri="{FF2B5EF4-FFF2-40B4-BE49-F238E27FC236}">
              <a16:creationId xmlns:a16="http://schemas.microsoft.com/office/drawing/2014/main" id="{00000000-0008-0000-0000-0000F1000000}"/>
            </a:ext>
          </a:extLst>
        </xdr:cNvPr>
        <xdr:cNvSpPr/>
      </xdr:nvSpPr>
      <xdr:spPr>
        <a:xfrm>
          <a:off x="36547" y="4058920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193</a:t>
          </a:r>
          <a:endParaRPr lang="en-US" sz="800"/>
        </a:p>
      </xdr:txBody>
    </xdr:sp>
    <xdr:clientData/>
  </xdr:twoCellAnchor>
  <xdr:twoCellAnchor>
    <xdr:from>
      <xdr:col>0</xdr:col>
      <xdr:colOff>43491</xdr:colOff>
      <xdr:row>201</xdr:row>
      <xdr:rowOff>38375</xdr:rowOff>
    </xdr:from>
    <xdr:to>
      <xdr:col>0</xdr:col>
      <xdr:colOff>792700</xdr:colOff>
      <xdr:row>201</xdr:row>
      <xdr:rowOff>193699</xdr:rowOff>
    </xdr:to>
    <xdr:sp macro="[0]!Rectangle241_Click" textlink="">
      <xdr:nvSpPr>
        <xdr:cNvPr id="242" name="Rectangle 241">
          <a:extLst>
            <a:ext uri="{FF2B5EF4-FFF2-40B4-BE49-F238E27FC236}">
              <a16:creationId xmlns:a16="http://schemas.microsoft.com/office/drawing/2014/main" id="{00000000-0008-0000-0000-0000F2000000}"/>
            </a:ext>
          </a:extLst>
        </xdr:cNvPr>
        <xdr:cNvSpPr/>
      </xdr:nvSpPr>
      <xdr:spPr>
        <a:xfrm>
          <a:off x="43491" y="4200319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200</a:t>
          </a:r>
          <a:endParaRPr lang="en-US" sz="800"/>
        </a:p>
      </xdr:txBody>
    </xdr:sp>
    <xdr:clientData/>
  </xdr:twoCellAnchor>
  <xdr:twoCellAnchor>
    <xdr:from>
      <xdr:col>0</xdr:col>
      <xdr:colOff>40567</xdr:colOff>
      <xdr:row>202</xdr:row>
      <xdr:rowOff>35452</xdr:rowOff>
    </xdr:from>
    <xdr:to>
      <xdr:col>0</xdr:col>
      <xdr:colOff>789776</xdr:colOff>
      <xdr:row>202</xdr:row>
      <xdr:rowOff>190776</xdr:rowOff>
    </xdr:to>
    <xdr:sp macro="[0]!Rectangle242_Click" textlink="">
      <xdr:nvSpPr>
        <xdr:cNvPr id="243" name="Rectangle 242">
          <a:extLst>
            <a:ext uri="{FF2B5EF4-FFF2-40B4-BE49-F238E27FC236}">
              <a16:creationId xmlns:a16="http://schemas.microsoft.com/office/drawing/2014/main" id="{00000000-0008-0000-0000-0000F3000000}"/>
            </a:ext>
          </a:extLst>
        </xdr:cNvPr>
        <xdr:cNvSpPr/>
      </xdr:nvSpPr>
      <xdr:spPr>
        <a:xfrm>
          <a:off x="40567" y="4220127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201</a:t>
          </a:r>
          <a:endParaRPr lang="en-US" sz="800"/>
        </a:p>
      </xdr:txBody>
    </xdr:sp>
    <xdr:clientData/>
  </xdr:twoCellAnchor>
  <xdr:twoCellAnchor>
    <xdr:from>
      <xdr:col>0</xdr:col>
      <xdr:colOff>46780</xdr:colOff>
      <xdr:row>203</xdr:row>
      <xdr:rowOff>23391</xdr:rowOff>
    </xdr:from>
    <xdr:to>
      <xdr:col>0</xdr:col>
      <xdr:colOff>795989</xdr:colOff>
      <xdr:row>203</xdr:row>
      <xdr:rowOff>178715</xdr:rowOff>
    </xdr:to>
    <xdr:sp macro="[0]!Rectangle243_Click" textlink="">
      <xdr:nvSpPr>
        <xdr:cNvPr id="244" name="Rectangle 243">
          <a:extLst>
            <a:ext uri="{FF2B5EF4-FFF2-40B4-BE49-F238E27FC236}">
              <a16:creationId xmlns:a16="http://schemas.microsoft.com/office/drawing/2014/main" id="{00000000-0008-0000-0000-0000F4000000}"/>
            </a:ext>
          </a:extLst>
        </xdr:cNvPr>
        <xdr:cNvSpPr/>
      </xdr:nvSpPr>
      <xdr:spPr>
        <a:xfrm>
          <a:off x="46780" y="4239022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202</a:t>
          </a:r>
          <a:endParaRPr lang="en-US" sz="800"/>
        </a:p>
      </xdr:txBody>
    </xdr:sp>
    <xdr:clientData/>
  </xdr:twoCellAnchor>
  <xdr:twoCellAnchor>
    <xdr:from>
      <xdr:col>0</xdr:col>
      <xdr:colOff>30701</xdr:colOff>
      <xdr:row>205</xdr:row>
      <xdr:rowOff>52995</xdr:rowOff>
    </xdr:from>
    <xdr:to>
      <xdr:col>0</xdr:col>
      <xdr:colOff>779910</xdr:colOff>
      <xdr:row>206</xdr:row>
      <xdr:rowOff>7312</xdr:rowOff>
    </xdr:to>
    <xdr:sp macro="[0]!Rectangle244_Click" textlink="">
      <xdr:nvSpPr>
        <xdr:cNvPr id="245" name="Rectangle 244">
          <a:extLst>
            <a:ext uri="{FF2B5EF4-FFF2-40B4-BE49-F238E27FC236}">
              <a16:creationId xmlns:a16="http://schemas.microsoft.com/office/drawing/2014/main" id="{00000000-0008-0000-0000-0000F5000000}"/>
            </a:ext>
          </a:extLst>
        </xdr:cNvPr>
        <xdr:cNvSpPr/>
      </xdr:nvSpPr>
      <xdr:spPr>
        <a:xfrm>
          <a:off x="30701" y="4282184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204</a:t>
          </a:r>
          <a:endParaRPr lang="en-US" sz="800"/>
        </a:p>
      </xdr:txBody>
    </xdr:sp>
    <xdr:clientData/>
  </xdr:twoCellAnchor>
  <xdr:twoCellAnchor>
    <xdr:from>
      <xdr:col>0</xdr:col>
      <xdr:colOff>36914</xdr:colOff>
      <xdr:row>206</xdr:row>
      <xdr:rowOff>50072</xdr:rowOff>
    </xdr:from>
    <xdr:to>
      <xdr:col>0</xdr:col>
      <xdr:colOff>786123</xdr:colOff>
      <xdr:row>207</xdr:row>
      <xdr:rowOff>4389</xdr:rowOff>
    </xdr:to>
    <xdr:sp macro="[0]!Rectangle245_Click" textlink="">
      <xdr:nvSpPr>
        <xdr:cNvPr id="246" name="Rectangle 245">
          <a:extLst>
            <a:ext uri="{FF2B5EF4-FFF2-40B4-BE49-F238E27FC236}">
              <a16:creationId xmlns:a16="http://schemas.microsoft.com/office/drawing/2014/main" id="{00000000-0008-0000-0000-0000F6000000}"/>
            </a:ext>
          </a:extLst>
        </xdr:cNvPr>
        <xdr:cNvSpPr/>
      </xdr:nvSpPr>
      <xdr:spPr>
        <a:xfrm>
          <a:off x="36914" y="4301992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205</a:t>
          </a:r>
          <a:endParaRPr lang="en-US" sz="800"/>
        </a:p>
      </xdr:txBody>
    </xdr:sp>
    <xdr:clientData/>
  </xdr:twoCellAnchor>
  <xdr:twoCellAnchor>
    <xdr:from>
      <xdr:col>0</xdr:col>
      <xdr:colOff>43127</xdr:colOff>
      <xdr:row>207</xdr:row>
      <xdr:rowOff>56285</xdr:rowOff>
    </xdr:from>
    <xdr:to>
      <xdr:col>0</xdr:col>
      <xdr:colOff>792336</xdr:colOff>
      <xdr:row>208</xdr:row>
      <xdr:rowOff>10601</xdr:rowOff>
    </xdr:to>
    <xdr:sp macro="[0]!Rectangle246_Click" textlink="">
      <xdr:nvSpPr>
        <xdr:cNvPr id="247" name="Rectangle 246">
          <a:extLst>
            <a:ext uri="{FF2B5EF4-FFF2-40B4-BE49-F238E27FC236}">
              <a16:creationId xmlns:a16="http://schemas.microsoft.com/office/drawing/2014/main" id="{00000000-0008-0000-0000-0000F7000000}"/>
            </a:ext>
          </a:extLst>
        </xdr:cNvPr>
        <xdr:cNvSpPr/>
      </xdr:nvSpPr>
      <xdr:spPr>
        <a:xfrm>
          <a:off x="43127" y="43227148"/>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206</a:t>
          </a:r>
          <a:endParaRPr lang="en-US" sz="800"/>
        </a:p>
      </xdr:txBody>
    </xdr:sp>
    <xdr:clientData/>
  </xdr:twoCellAnchor>
  <xdr:twoCellAnchor>
    <xdr:from>
      <xdr:col>0</xdr:col>
      <xdr:colOff>49340</xdr:colOff>
      <xdr:row>208</xdr:row>
      <xdr:rowOff>53360</xdr:rowOff>
    </xdr:from>
    <xdr:to>
      <xdr:col>0</xdr:col>
      <xdr:colOff>798549</xdr:colOff>
      <xdr:row>209</xdr:row>
      <xdr:rowOff>7677</xdr:rowOff>
    </xdr:to>
    <xdr:sp macro="[0]!Rectangle247_Click" textlink="">
      <xdr:nvSpPr>
        <xdr:cNvPr id="248" name="Rectangle 247">
          <a:extLst>
            <a:ext uri="{FF2B5EF4-FFF2-40B4-BE49-F238E27FC236}">
              <a16:creationId xmlns:a16="http://schemas.microsoft.com/office/drawing/2014/main" id="{00000000-0008-0000-0000-0000F8000000}"/>
            </a:ext>
          </a:extLst>
        </xdr:cNvPr>
        <xdr:cNvSpPr/>
      </xdr:nvSpPr>
      <xdr:spPr>
        <a:xfrm>
          <a:off x="49340" y="43425231"/>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207</a:t>
          </a:r>
          <a:endParaRPr lang="en-US" sz="800"/>
        </a:p>
      </xdr:txBody>
    </xdr:sp>
    <xdr:clientData/>
  </xdr:twoCellAnchor>
  <xdr:twoCellAnchor>
    <xdr:from>
      <xdr:col>0</xdr:col>
      <xdr:colOff>46416</xdr:colOff>
      <xdr:row>209</xdr:row>
      <xdr:rowOff>50436</xdr:rowOff>
    </xdr:from>
    <xdr:to>
      <xdr:col>0</xdr:col>
      <xdr:colOff>795625</xdr:colOff>
      <xdr:row>210</xdr:row>
      <xdr:rowOff>4753</xdr:rowOff>
    </xdr:to>
    <xdr:sp macro="[0]!Rectangle248_Click" textlink="">
      <xdr:nvSpPr>
        <xdr:cNvPr id="249" name="Rectangle 248">
          <a:extLst>
            <a:ext uri="{FF2B5EF4-FFF2-40B4-BE49-F238E27FC236}">
              <a16:creationId xmlns:a16="http://schemas.microsoft.com/office/drawing/2014/main" id="{00000000-0008-0000-0000-0000F9000000}"/>
            </a:ext>
          </a:extLst>
        </xdr:cNvPr>
        <xdr:cNvSpPr/>
      </xdr:nvSpPr>
      <xdr:spPr>
        <a:xfrm>
          <a:off x="46416" y="43623314"/>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208</a:t>
          </a:r>
          <a:endParaRPr lang="en-US" sz="800"/>
        </a:p>
      </xdr:txBody>
    </xdr:sp>
    <xdr:clientData/>
  </xdr:twoCellAnchor>
  <xdr:twoCellAnchor>
    <xdr:from>
      <xdr:col>0</xdr:col>
      <xdr:colOff>43492</xdr:colOff>
      <xdr:row>210</xdr:row>
      <xdr:rowOff>38375</xdr:rowOff>
    </xdr:from>
    <xdr:to>
      <xdr:col>0</xdr:col>
      <xdr:colOff>792701</xdr:colOff>
      <xdr:row>210</xdr:row>
      <xdr:rowOff>193699</xdr:rowOff>
    </xdr:to>
    <xdr:sp macro="[0]!Rectangle249_Click" textlink="">
      <xdr:nvSpPr>
        <xdr:cNvPr id="250" name="Rectangle 249">
          <a:extLst>
            <a:ext uri="{FF2B5EF4-FFF2-40B4-BE49-F238E27FC236}">
              <a16:creationId xmlns:a16="http://schemas.microsoft.com/office/drawing/2014/main" id="{00000000-0008-0000-0000-0000FA000000}"/>
            </a:ext>
          </a:extLst>
        </xdr:cNvPr>
        <xdr:cNvSpPr/>
      </xdr:nvSpPr>
      <xdr:spPr>
        <a:xfrm>
          <a:off x="43492" y="4381226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209</a:t>
          </a:r>
          <a:endParaRPr lang="en-US" sz="800"/>
        </a:p>
      </xdr:txBody>
    </xdr:sp>
    <xdr:clientData/>
  </xdr:twoCellAnchor>
  <xdr:twoCellAnchor>
    <xdr:from>
      <xdr:col>0</xdr:col>
      <xdr:colOff>33624</xdr:colOff>
      <xdr:row>204</xdr:row>
      <xdr:rowOff>37644</xdr:rowOff>
    </xdr:from>
    <xdr:to>
      <xdr:col>0</xdr:col>
      <xdr:colOff>782833</xdr:colOff>
      <xdr:row>204</xdr:row>
      <xdr:rowOff>192968</xdr:rowOff>
    </xdr:to>
    <xdr:sp macro="[0]!Rectangle250_Click" textlink="">
      <xdr:nvSpPr>
        <xdr:cNvPr id="251" name="Rectangle 250">
          <a:extLst>
            <a:ext uri="{FF2B5EF4-FFF2-40B4-BE49-F238E27FC236}">
              <a16:creationId xmlns:a16="http://schemas.microsoft.com/office/drawing/2014/main" id="{00000000-0008-0000-0000-0000FB000000}"/>
            </a:ext>
          </a:extLst>
        </xdr:cNvPr>
        <xdr:cNvSpPr/>
      </xdr:nvSpPr>
      <xdr:spPr>
        <a:xfrm>
          <a:off x="33624" y="4260548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203</a:t>
          </a:r>
          <a:endParaRPr lang="en-US" sz="800"/>
        </a:p>
      </xdr:txBody>
    </xdr:sp>
    <xdr:clientData/>
  </xdr:twoCellAnchor>
  <xdr:twoCellAnchor>
    <xdr:from>
      <xdr:col>0</xdr:col>
      <xdr:colOff>49704</xdr:colOff>
      <xdr:row>211</xdr:row>
      <xdr:rowOff>26314</xdr:rowOff>
    </xdr:from>
    <xdr:to>
      <xdr:col>0</xdr:col>
      <xdr:colOff>798913</xdr:colOff>
      <xdr:row>211</xdr:row>
      <xdr:rowOff>181638</xdr:rowOff>
    </xdr:to>
    <xdr:sp macro="[0]!Rectangle251_Click" textlink="">
      <xdr:nvSpPr>
        <xdr:cNvPr id="252" name="Rectangle 251">
          <a:extLst>
            <a:ext uri="{FF2B5EF4-FFF2-40B4-BE49-F238E27FC236}">
              <a16:creationId xmlns:a16="http://schemas.microsoft.com/office/drawing/2014/main" id="{00000000-0008-0000-0000-0000FC000000}"/>
            </a:ext>
          </a:extLst>
        </xdr:cNvPr>
        <xdr:cNvSpPr/>
      </xdr:nvSpPr>
      <xdr:spPr>
        <a:xfrm>
          <a:off x="49704" y="44001206"/>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210</a:t>
          </a:r>
          <a:endParaRPr lang="en-US" sz="800"/>
        </a:p>
      </xdr:txBody>
    </xdr:sp>
    <xdr:clientData/>
  </xdr:twoCellAnchor>
  <xdr:twoCellAnchor>
    <xdr:from>
      <xdr:col>0</xdr:col>
      <xdr:colOff>46780</xdr:colOff>
      <xdr:row>212</xdr:row>
      <xdr:rowOff>23391</xdr:rowOff>
    </xdr:from>
    <xdr:to>
      <xdr:col>0</xdr:col>
      <xdr:colOff>795989</xdr:colOff>
      <xdr:row>212</xdr:row>
      <xdr:rowOff>178715</xdr:rowOff>
    </xdr:to>
    <xdr:sp macro="[0]!Rectangle252_Click" textlink="">
      <xdr:nvSpPr>
        <xdr:cNvPr id="253" name="Rectangle 252">
          <a:extLst>
            <a:ext uri="{FF2B5EF4-FFF2-40B4-BE49-F238E27FC236}">
              <a16:creationId xmlns:a16="http://schemas.microsoft.com/office/drawing/2014/main" id="{00000000-0008-0000-0000-0000FD000000}"/>
            </a:ext>
          </a:extLst>
        </xdr:cNvPr>
        <xdr:cNvSpPr/>
      </xdr:nvSpPr>
      <xdr:spPr>
        <a:xfrm>
          <a:off x="46780" y="44199290"/>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211</a:t>
          </a:r>
          <a:endParaRPr lang="en-US" sz="800"/>
        </a:p>
      </xdr:txBody>
    </xdr:sp>
    <xdr:clientData/>
  </xdr:twoCellAnchor>
  <xdr:twoCellAnchor>
    <xdr:from>
      <xdr:col>0</xdr:col>
      <xdr:colOff>52993</xdr:colOff>
      <xdr:row>213</xdr:row>
      <xdr:rowOff>11331</xdr:rowOff>
    </xdr:from>
    <xdr:to>
      <xdr:col>0</xdr:col>
      <xdr:colOff>802202</xdr:colOff>
      <xdr:row>213</xdr:row>
      <xdr:rowOff>166655</xdr:rowOff>
    </xdr:to>
    <xdr:sp macro="[0]!Rectangle253_Click" textlink="">
      <xdr:nvSpPr>
        <xdr:cNvPr id="254" name="Rectangle 253">
          <a:extLst>
            <a:ext uri="{FF2B5EF4-FFF2-40B4-BE49-F238E27FC236}">
              <a16:creationId xmlns:a16="http://schemas.microsoft.com/office/drawing/2014/main" id="{00000000-0008-0000-0000-0000FE000000}"/>
            </a:ext>
          </a:extLst>
        </xdr:cNvPr>
        <xdr:cNvSpPr/>
      </xdr:nvSpPr>
      <xdr:spPr>
        <a:xfrm>
          <a:off x="52993" y="4438823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212</a:t>
          </a:r>
          <a:endParaRPr lang="en-US" sz="800"/>
        </a:p>
      </xdr:txBody>
    </xdr:sp>
    <xdr:clientData/>
  </xdr:twoCellAnchor>
  <xdr:twoCellAnchor>
    <xdr:from>
      <xdr:col>0</xdr:col>
      <xdr:colOff>36914</xdr:colOff>
      <xdr:row>215</xdr:row>
      <xdr:rowOff>40934</xdr:rowOff>
    </xdr:from>
    <xdr:to>
      <xdr:col>0</xdr:col>
      <xdr:colOff>786123</xdr:colOff>
      <xdr:row>215</xdr:row>
      <xdr:rowOff>196258</xdr:rowOff>
    </xdr:to>
    <xdr:sp macro="[0]!Rectangle254_Click" textlink="">
      <xdr:nvSpPr>
        <xdr:cNvPr id="255" name="Rectangle 254">
          <a:extLst>
            <a:ext uri="{FF2B5EF4-FFF2-40B4-BE49-F238E27FC236}">
              <a16:creationId xmlns:a16="http://schemas.microsoft.com/office/drawing/2014/main" id="{00000000-0008-0000-0000-0000FF000000}"/>
            </a:ext>
          </a:extLst>
        </xdr:cNvPr>
        <xdr:cNvSpPr/>
      </xdr:nvSpPr>
      <xdr:spPr>
        <a:xfrm>
          <a:off x="36914" y="44819855"/>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214</a:t>
          </a:r>
          <a:endParaRPr lang="en-US" sz="800"/>
        </a:p>
      </xdr:txBody>
    </xdr:sp>
    <xdr:clientData/>
  </xdr:twoCellAnchor>
  <xdr:twoCellAnchor>
    <xdr:from>
      <xdr:col>0</xdr:col>
      <xdr:colOff>43127</xdr:colOff>
      <xdr:row>216</xdr:row>
      <xdr:rowOff>38011</xdr:rowOff>
    </xdr:from>
    <xdr:to>
      <xdr:col>0</xdr:col>
      <xdr:colOff>792336</xdr:colOff>
      <xdr:row>216</xdr:row>
      <xdr:rowOff>193335</xdr:rowOff>
    </xdr:to>
    <xdr:sp macro="[0]!Rectangle255_Click" textlink="">
      <xdr:nvSpPr>
        <xdr:cNvPr id="256" name="Rectangle 255">
          <a:extLst>
            <a:ext uri="{FF2B5EF4-FFF2-40B4-BE49-F238E27FC236}">
              <a16:creationId xmlns:a16="http://schemas.microsoft.com/office/drawing/2014/main" id="{00000000-0008-0000-0000-000000010000}"/>
            </a:ext>
          </a:extLst>
        </xdr:cNvPr>
        <xdr:cNvSpPr/>
      </xdr:nvSpPr>
      <xdr:spPr>
        <a:xfrm>
          <a:off x="43127" y="4501793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215</a:t>
          </a:r>
          <a:endParaRPr lang="en-US" sz="800"/>
        </a:p>
      </xdr:txBody>
    </xdr:sp>
    <xdr:clientData/>
  </xdr:twoCellAnchor>
  <xdr:twoCellAnchor>
    <xdr:from>
      <xdr:col>0</xdr:col>
      <xdr:colOff>49340</xdr:colOff>
      <xdr:row>217</xdr:row>
      <xdr:rowOff>44224</xdr:rowOff>
    </xdr:from>
    <xdr:to>
      <xdr:col>0</xdr:col>
      <xdr:colOff>798549</xdr:colOff>
      <xdr:row>217</xdr:row>
      <xdr:rowOff>199548</xdr:rowOff>
    </xdr:to>
    <xdr:sp macro="[0]!Rectangle256_Click" textlink="">
      <xdr:nvSpPr>
        <xdr:cNvPr id="257" name="Rectangle 256">
          <a:extLst>
            <a:ext uri="{FF2B5EF4-FFF2-40B4-BE49-F238E27FC236}">
              <a16:creationId xmlns:a16="http://schemas.microsoft.com/office/drawing/2014/main" id="{00000000-0008-0000-0000-000001010000}"/>
            </a:ext>
          </a:extLst>
        </xdr:cNvPr>
        <xdr:cNvSpPr/>
      </xdr:nvSpPr>
      <xdr:spPr>
        <a:xfrm>
          <a:off x="49340" y="45225159"/>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216</a:t>
          </a:r>
          <a:endParaRPr lang="en-US" sz="800"/>
        </a:p>
      </xdr:txBody>
    </xdr:sp>
    <xdr:clientData/>
  </xdr:twoCellAnchor>
  <xdr:twoCellAnchor>
    <xdr:from>
      <xdr:col>0</xdr:col>
      <xdr:colOff>39837</xdr:colOff>
      <xdr:row>214</xdr:row>
      <xdr:rowOff>25583</xdr:rowOff>
    </xdr:from>
    <xdr:to>
      <xdr:col>0</xdr:col>
      <xdr:colOff>789046</xdr:colOff>
      <xdr:row>214</xdr:row>
      <xdr:rowOff>180907</xdr:rowOff>
    </xdr:to>
    <xdr:sp macro="[0]!Rectangle257_Click" textlink="">
      <xdr:nvSpPr>
        <xdr:cNvPr id="258" name="Rectangle 257">
          <a:extLst>
            <a:ext uri="{FF2B5EF4-FFF2-40B4-BE49-F238E27FC236}">
              <a16:creationId xmlns:a16="http://schemas.microsoft.com/office/drawing/2014/main" id="{00000000-0008-0000-0000-000002010000}"/>
            </a:ext>
          </a:extLst>
        </xdr:cNvPr>
        <xdr:cNvSpPr/>
      </xdr:nvSpPr>
      <xdr:spPr>
        <a:xfrm>
          <a:off x="39837" y="44603497"/>
          <a:ext cx="749209" cy="1553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a:t>Scenario</a:t>
          </a:r>
          <a:r>
            <a:rPr lang="en-US" sz="800" baseline="0"/>
            <a:t> 213</a:t>
          </a:r>
          <a:endParaRPr lang="en-US" sz="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774609</xdr:colOff>
      <xdr:row>1</xdr:row>
      <xdr:rowOff>180724</xdr:rowOff>
    </xdr:to>
    <xdr:sp macro="[0]!Rectangle1_Click" textlink="">
      <xdr:nvSpPr>
        <xdr:cNvPr id="2" name="Rectangle 1">
          <a:extLst>
            <a:ext uri="{FF2B5EF4-FFF2-40B4-BE49-F238E27FC236}">
              <a16:creationId xmlns:a16="http://schemas.microsoft.com/office/drawing/2014/main" id="{00000000-0008-0000-0100-000002000000}"/>
            </a:ext>
          </a:extLst>
        </xdr:cNvPr>
        <xdr:cNvSpPr/>
      </xdr:nvSpPr>
      <xdr:spPr>
        <a:xfrm>
          <a:off x="11988800" y="2286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76200</xdr:colOff>
      <xdr:row>1</xdr:row>
      <xdr:rowOff>25400</xdr:rowOff>
    </xdr:from>
    <xdr:to>
      <xdr:col>6</xdr:col>
      <xdr:colOff>825409</xdr:colOff>
      <xdr:row>1</xdr:row>
      <xdr:rowOff>180724</xdr:rowOff>
    </xdr:to>
    <xdr:sp macro="[0]!Rectangle1_Click" textlink="">
      <xdr:nvSpPr>
        <xdr:cNvPr id="2" name="Rectangle 1">
          <a:extLst>
            <a:ext uri="{FF2B5EF4-FFF2-40B4-BE49-F238E27FC236}">
              <a16:creationId xmlns:a16="http://schemas.microsoft.com/office/drawing/2014/main" id="{00000000-0008-0000-0200-000002000000}"/>
            </a:ext>
          </a:extLst>
        </xdr:cNvPr>
        <xdr:cNvSpPr/>
      </xdr:nvSpPr>
      <xdr:spPr>
        <a:xfrm>
          <a:off x="12039600" y="2286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50800</xdr:colOff>
      <xdr:row>1</xdr:row>
      <xdr:rowOff>25400</xdr:rowOff>
    </xdr:from>
    <xdr:to>
      <xdr:col>6</xdr:col>
      <xdr:colOff>800009</xdr:colOff>
      <xdr:row>1</xdr:row>
      <xdr:rowOff>180724</xdr:rowOff>
    </xdr:to>
    <xdr:sp macro="[0]!Rectangle1_Click" textlink="">
      <xdr:nvSpPr>
        <xdr:cNvPr id="2" name="Rectangle 1">
          <a:extLst>
            <a:ext uri="{FF2B5EF4-FFF2-40B4-BE49-F238E27FC236}">
              <a16:creationId xmlns:a16="http://schemas.microsoft.com/office/drawing/2014/main" id="{00000000-0008-0000-0300-000002000000}"/>
            </a:ext>
          </a:extLst>
        </xdr:cNvPr>
        <xdr:cNvSpPr/>
      </xdr:nvSpPr>
      <xdr:spPr>
        <a:xfrm>
          <a:off x="12014200" y="2286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63500</xdr:colOff>
      <xdr:row>1</xdr:row>
      <xdr:rowOff>38100</xdr:rowOff>
    </xdr:from>
    <xdr:to>
      <xdr:col>6</xdr:col>
      <xdr:colOff>812709</xdr:colOff>
      <xdr:row>1</xdr:row>
      <xdr:rowOff>193424</xdr:rowOff>
    </xdr:to>
    <xdr:sp macro="[0]!Rectangle1_Click" textlink="">
      <xdr:nvSpPr>
        <xdr:cNvPr id="2" name="Rectangle 1">
          <a:extLst>
            <a:ext uri="{FF2B5EF4-FFF2-40B4-BE49-F238E27FC236}">
              <a16:creationId xmlns:a16="http://schemas.microsoft.com/office/drawing/2014/main" id="{00000000-0008-0000-0400-000002000000}"/>
            </a:ext>
          </a:extLst>
        </xdr:cNvPr>
        <xdr:cNvSpPr/>
      </xdr:nvSpPr>
      <xdr:spPr>
        <a:xfrm>
          <a:off x="12026900" y="2413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25400</xdr:colOff>
      <xdr:row>1</xdr:row>
      <xdr:rowOff>50800</xdr:rowOff>
    </xdr:from>
    <xdr:to>
      <xdr:col>6</xdr:col>
      <xdr:colOff>774609</xdr:colOff>
      <xdr:row>2</xdr:row>
      <xdr:rowOff>2924</xdr:rowOff>
    </xdr:to>
    <xdr:sp macro="[0]!Rectangle1_Click" textlink="">
      <xdr:nvSpPr>
        <xdr:cNvPr id="2" name="Rectangle 1">
          <a:extLst>
            <a:ext uri="{FF2B5EF4-FFF2-40B4-BE49-F238E27FC236}">
              <a16:creationId xmlns:a16="http://schemas.microsoft.com/office/drawing/2014/main" id="{00000000-0008-0000-0500-000002000000}"/>
            </a:ext>
          </a:extLst>
        </xdr:cNvPr>
        <xdr:cNvSpPr/>
      </xdr:nvSpPr>
      <xdr:spPr>
        <a:xfrm>
          <a:off x="11988800" y="2540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76200</xdr:colOff>
      <xdr:row>1</xdr:row>
      <xdr:rowOff>12700</xdr:rowOff>
    </xdr:from>
    <xdr:to>
      <xdr:col>6</xdr:col>
      <xdr:colOff>825409</xdr:colOff>
      <xdr:row>1</xdr:row>
      <xdr:rowOff>168024</xdr:rowOff>
    </xdr:to>
    <xdr:sp macro="[0]!Rectangle1_Click" textlink="">
      <xdr:nvSpPr>
        <xdr:cNvPr id="2" name="Rectangle 1">
          <a:extLst>
            <a:ext uri="{FF2B5EF4-FFF2-40B4-BE49-F238E27FC236}">
              <a16:creationId xmlns:a16="http://schemas.microsoft.com/office/drawing/2014/main" id="{00000000-0008-0000-0600-000002000000}"/>
            </a:ext>
          </a:extLst>
        </xdr:cNvPr>
        <xdr:cNvSpPr/>
      </xdr:nvSpPr>
      <xdr:spPr>
        <a:xfrm>
          <a:off x="12039600" y="2159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twoCellAnchor>
    <xdr:from>
      <xdr:col>6</xdr:col>
      <xdr:colOff>25400</xdr:colOff>
      <xdr:row>1</xdr:row>
      <xdr:rowOff>50800</xdr:rowOff>
    </xdr:from>
    <xdr:to>
      <xdr:col>6</xdr:col>
      <xdr:colOff>774609</xdr:colOff>
      <xdr:row>2</xdr:row>
      <xdr:rowOff>2924</xdr:rowOff>
    </xdr:to>
    <xdr:sp macro="[0]!Rectangle1_Click" textlink="">
      <xdr:nvSpPr>
        <xdr:cNvPr id="3" name="Rectangle 2">
          <a:extLst>
            <a:ext uri="{FF2B5EF4-FFF2-40B4-BE49-F238E27FC236}">
              <a16:creationId xmlns:a16="http://schemas.microsoft.com/office/drawing/2014/main" id="{00000000-0008-0000-0600-000003000000}"/>
            </a:ext>
          </a:extLst>
        </xdr:cNvPr>
        <xdr:cNvSpPr/>
      </xdr:nvSpPr>
      <xdr:spPr>
        <a:xfrm>
          <a:off x="11988800" y="2540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0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3" name="Rectangle 2">
          <a:extLst>
            <a:ext uri="{FF2B5EF4-FFF2-40B4-BE49-F238E27FC236}">
              <a16:creationId xmlns:a16="http://schemas.microsoft.com/office/drawing/2014/main" id="{00000000-0008-0000-1C00-000003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1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2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3" name="Rectangle 2">
          <a:extLst>
            <a:ext uri="{FF2B5EF4-FFF2-40B4-BE49-F238E27FC236}">
              <a16:creationId xmlns:a16="http://schemas.microsoft.com/office/drawing/2014/main" id="{00000000-0008-0000-3500-000003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3" name="Rectangle 2">
          <a:extLst>
            <a:ext uri="{FF2B5EF4-FFF2-40B4-BE49-F238E27FC236}">
              <a16:creationId xmlns:a16="http://schemas.microsoft.com/office/drawing/2014/main" id="{00000000-0008-0000-3D00-000003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3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3" name="Rectangle 2">
          <a:extLst>
            <a:ext uri="{FF2B5EF4-FFF2-40B4-BE49-F238E27FC236}">
              <a16:creationId xmlns:a16="http://schemas.microsoft.com/office/drawing/2014/main" id="{00000000-0008-0000-4800-000003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6</xdr:col>
      <xdr:colOff>25400</xdr:colOff>
      <xdr:row>1</xdr:row>
      <xdr:rowOff>0</xdr:rowOff>
    </xdr:from>
    <xdr:to>
      <xdr:col>6</xdr:col>
      <xdr:colOff>774609</xdr:colOff>
      <xdr:row>1</xdr:row>
      <xdr:rowOff>155324</xdr:rowOff>
    </xdr:to>
    <xdr:sp macro="[0]!Rectangle1_Click" textlink="">
      <xdr:nvSpPr>
        <xdr:cNvPr id="2" name="Rectangle 1">
          <a:extLst>
            <a:ext uri="{FF2B5EF4-FFF2-40B4-BE49-F238E27FC236}">
              <a16:creationId xmlns:a16="http://schemas.microsoft.com/office/drawing/2014/main" id="{00000000-0008-0000-4B00-000002000000}"/>
            </a:ext>
          </a:extLst>
        </xdr:cNvPr>
        <xdr:cNvSpPr/>
      </xdr:nvSpPr>
      <xdr:spPr>
        <a:xfrm>
          <a:off x="119888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4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6</xdr:col>
      <xdr:colOff>12700</xdr:colOff>
      <xdr:row>1</xdr:row>
      <xdr:rowOff>0</xdr:rowOff>
    </xdr:from>
    <xdr:to>
      <xdr:col>6</xdr:col>
      <xdr:colOff>761909</xdr:colOff>
      <xdr:row>1</xdr:row>
      <xdr:rowOff>155324</xdr:rowOff>
    </xdr:to>
    <xdr:sp macro="[0]!Rectangle1_Click" textlink="">
      <xdr:nvSpPr>
        <xdr:cNvPr id="2" name="Rectangle 1">
          <a:extLst>
            <a:ext uri="{FF2B5EF4-FFF2-40B4-BE49-F238E27FC236}">
              <a16:creationId xmlns:a16="http://schemas.microsoft.com/office/drawing/2014/main" id="{00000000-0008-0000-5200-000002000000}"/>
            </a:ext>
          </a:extLst>
        </xdr:cNvPr>
        <xdr:cNvSpPr/>
      </xdr:nvSpPr>
      <xdr:spPr>
        <a:xfrm>
          <a:off x="119761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5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6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7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3" name="Rectangle 2">
          <a:extLst>
            <a:ext uri="{FF2B5EF4-FFF2-40B4-BE49-F238E27FC236}">
              <a16:creationId xmlns:a16="http://schemas.microsoft.com/office/drawing/2014/main" id="{00000000-0008-0000-7F00-000003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29.xml><?xml version="1.0" encoding="utf-8"?>
<xdr:wsDr xmlns:xdr="http://schemas.openxmlformats.org/drawingml/2006/spreadsheetDrawing" xmlns:a="http://schemas.openxmlformats.org/drawingml/2006/main">
  <xdr:twoCellAnchor editAs="oneCell">
    <xdr:from>
      <xdr:col>6</xdr:col>
      <xdr:colOff>12700</xdr:colOff>
      <xdr:row>1</xdr:row>
      <xdr:rowOff>38100</xdr:rowOff>
    </xdr:from>
    <xdr:to>
      <xdr:col>6</xdr:col>
      <xdr:colOff>761909</xdr:colOff>
      <xdr:row>1</xdr:row>
      <xdr:rowOff>193424</xdr:rowOff>
    </xdr:to>
    <xdr:sp macro="" textlink="">
      <xdr:nvSpPr>
        <xdr:cNvPr id="2" name="Rectangle 1">
          <a:extLst>
            <a:ext uri="{FF2B5EF4-FFF2-40B4-BE49-F238E27FC236}">
              <a16:creationId xmlns:a16="http://schemas.microsoft.com/office/drawing/2014/main" id="{00000000-0008-0000-8000-000002000000}"/>
            </a:ext>
          </a:extLst>
        </xdr:cNvPr>
        <xdr:cNvSpPr/>
      </xdr:nvSpPr>
      <xdr:spPr>
        <a:xfrm>
          <a:off x="11988800" y="2540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800"/>
            <a:t>BACK</a:t>
          </a:r>
        </a:p>
      </xdr:txBody>
    </xdr:sp>
    <xdr:clientData/>
  </xdr:twoCellAnchor>
</xdr:wsDr>
</file>

<file path=xl/drawings/drawing130.xml><?xml version="1.0" encoding="utf-8"?>
<xdr:wsDr xmlns:xdr="http://schemas.openxmlformats.org/drawingml/2006/spreadsheetDrawing" xmlns:a="http://schemas.openxmlformats.org/drawingml/2006/main">
  <xdr:twoCellAnchor editAs="oneCell">
    <xdr:from>
      <xdr:col>6</xdr:col>
      <xdr:colOff>12700</xdr:colOff>
      <xdr:row>1</xdr:row>
      <xdr:rowOff>38100</xdr:rowOff>
    </xdr:from>
    <xdr:to>
      <xdr:col>6</xdr:col>
      <xdr:colOff>761909</xdr:colOff>
      <xdr:row>1</xdr:row>
      <xdr:rowOff>193424</xdr:rowOff>
    </xdr:to>
    <xdr:sp macro="" textlink="">
      <xdr:nvSpPr>
        <xdr:cNvPr id="2" name="Rectangle 1">
          <a:extLst>
            <a:ext uri="{FF2B5EF4-FFF2-40B4-BE49-F238E27FC236}">
              <a16:creationId xmlns:a16="http://schemas.microsoft.com/office/drawing/2014/main" id="{00000000-0008-0000-8100-000002000000}"/>
            </a:ext>
          </a:extLst>
        </xdr:cNvPr>
        <xdr:cNvSpPr/>
      </xdr:nvSpPr>
      <xdr:spPr>
        <a:xfrm>
          <a:off x="11988800" y="2540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800"/>
            <a:t>BACK</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8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9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6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A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7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8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B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3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19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9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A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B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twoCellAnchor editAs="oneCell">
    <xdr:from>
      <xdr:col>6</xdr:col>
      <xdr:colOff>12700</xdr:colOff>
      <xdr:row>1</xdr:row>
      <xdr:rowOff>38100</xdr:rowOff>
    </xdr:from>
    <xdr:to>
      <xdr:col>6</xdr:col>
      <xdr:colOff>761909</xdr:colOff>
      <xdr:row>1</xdr:row>
      <xdr:rowOff>193424</xdr:rowOff>
    </xdr:to>
    <xdr:sp macro="" textlink="">
      <xdr:nvSpPr>
        <xdr:cNvPr id="3" name="Rectangle 2">
          <a:extLst>
            <a:ext uri="{FF2B5EF4-FFF2-40B4-BE49-F238E27FC236}">
              <a16:creationId xmlns:a16="http://schemas.microsoft.com/office/drawing/2014/main" id="{00000000-0008-0000-CB00-000003000000}"/>
            </a:ext>
          </a:extLst>
        </xdr:cNvPr>
        <xdr:cNvSpPr/>
      </xdr:nvSpPr>
      <xdr:spPr>
        <a:xfrm>
          <a:off x="11988800" y="2540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800"/>
            <a:t>BACK=</a:t>
          </a:r>
        </a:p>
      </xdr:txBody>
    </xdr:sp>
    <xdr:clientData/>
  </xdr:twoCellAnchor>
</xdr:wsDr>
</file>

<file path=xl/drawings/drawing20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C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D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E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8.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CF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0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0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1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2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2.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3" name="Rectangle 2">
          <a:extLst>
            <a:ext uri="{FF2B5EF4-FFF2-40B4-BE49-F238E27FC236}">
              <a16:creationId xmlns:a16="http://schemas.microsoft.com/office/drawing/2014/main" id="{00000000-0008-0000-D300-000003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3.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4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4.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5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5.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6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6.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7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drawings/drawing21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749209</xdr:colOff>
      <xdr:row>1</xdr:row>
      <xdr:rowOff>155324</xdr:rowOff>
    </xdr:to>
    <xdr:sp macro="[0]!Rectangle1_Click" textlink="">
      <xdr:nvSpPr>
        <xdr:cNvPr id="2" name="Rectangle 1">
          <a:extLst>
            <a:ext uri="{FF2B5EF4-FFF2-40B4-BE49-F238E27FC236}">
              <a16:creationId xmlns:a16="http://schemas.microsoft.com/office/drawing/2014/main" id="{00000000-0008-0000-D800-000002000000}"/>
            </a:ext>
          </a:extLst>
        </xdr:cNvPr>
        <xdr:cNvSpPr/>
      </xdr:nvSpPr>
      <xdr:spPr>
        <a:xfrm>
          <a:off x="11963400" y="203200"/>
          <a:ext cx="749209" cy="155324"/>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BACK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ata.worldbank.org/indicator/SE.PRM.ENRL.TC.ZS?locations=MW" TargetMode="External"/><Relationship Id="rId1" Type="http://schemas.openxmlformats.org/officeDocument/2006/relationships/hyperlink" Target="https://data.worldbank.org/indicator/SE.SEC.ENRL?end=2019&amp;locations=MW&amp;start=1972&amp;view=chart"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4.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6.xml"/></Relationships>
</file>

<file path=xl/worksheets/_rels/sheet87.xml.rels><?xml version="1.0" encoding="UTF-8" standalone="yes"?>
<Relationships xmlns="http://schemas.openxmlformats.org/package/2006/relationships"><Relationship Id="rId1" Type="http://schemas.openxmlformats.org/officeDocument/2006/relationships/drawing" Target="../drawings/drawing87.xml"/></Relationships>
</file>

<file path=xl/worksheets/_rels/sheet88.xml.rels><?xml version="1.0" encoding="UTF-8" standalone="yes"?>
<Relationships xmlns="http://schemas.openxmlformats.org/package/2006/relationships"><Relationship Id="rId1" Type="http://schemas.openxmlformats.org/officeDocument/2006/relationships/drawing" Target="../drawings/drawing88.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89.xml"/></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90.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91.xml"/></Relationships>
</file>

<file path=xl/worksheets/_rels/sheet92.xml.rels><?xml version="1.0" encoding="UTF-8" standalone="yes"?>
<Relationships xmlns="http://schemas.openxmlformats.org/package/2006/relationships"><Relationship Id="rId1" Type="http://schemas.openxmlformats.org/officeDocument/2006/relationships/drawing" Target="../drawings/drawing92.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93.xml"/></Relationships>
</file>

<file path=xl/worksheets/_rels/sheet94.xml.rels><?xml version="1.0" encoding="UTF-8" standalone="yes"?>
<Relationships xmlns="http://schemas.openxmlformats.org/package/2006/relationships"><Relationship Id="rId1" Type="http://schemas.openxmlformats.org/officeDocument/2006/relationships/drawing" Target="../drawings/drawing94.xml"/></Relationships>
</file>

<file path=xl/worksheets/_rels/sheet95.xml.rels><?xml version="1.0" encoding="UTF-8" standalone="yes"?>
<Relationships xmlns="http://schemas.openxmlformats.org/package/2006/relationships"><Relationship Id="rId1" Type="http://schemas.openxmlformats.org/officeDocument/2006/relationships/drawing" Target="../drawings/drawing95.xml"/></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96.xml"/></Relationships>
</file>

<file path=xl/worksheets/_rels/sheet97.xml.rels><?xml version="1.0" encoding="UTF-8" standalone="yes"?>
<Relationships xmlns="http://schemas.openxmlformats.org/package/2006/relationships"><Relationship Id="rId1" Type="http://schemas.openxmlformats.org/officeDocument/2006/relationships/drawing" Target="../drawings/drawing97.xml"/></Relationships>
</file>

<file path=xl/worksheets/_rels/sheet98.xml.rels><?xml version="1.0" encoding="UTF-8" standalone="yes"?>
<Relationships xmlns="http://schemas.openxmlformats.org/package/2006/relationships"><Relationship Id="rId1" Type="http://schemas.openxmlformats.org/officeDocument/2006/relationships/drawing" Target="../drawings/drawing98.xml"/></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99.xml"/></Relationships>
</file>

<file path=xl/worksheets/_rels/sheet100.xml.rels><?xml version="1.0" encoding="UTF-8" standalone="yes"?>
<Relationships xmlns="http://schemas.openxmlformats.org/package/2006/relationships"><Relationship Id="rId1" Type="http://schemas.openxmlformats.org/officeDocument/2006/relationships/drawing" Target="../drawings/drawing100.xml"/></Relationships>
</file>

<file path=xl/worksheets/_rels/sheet101.xml.rels><?xml version="1.0" encoding="UTF-8" standalone="yes"?>
<Relationships xmlns="http://schemas.openxmlformats.org/package/2006/relationships"><Relationship Id="rId1" Type="http://schemas.openxmlformats.org/officeDocument/2006/relationships/drawing" Target="../drawings/drawing101.xml"/></Relationships>
</file>

<file path=xl/worksheets/_rels/sheet102.xml.rels><?xml version="1.0" encoding="UTF-8" standalone="yes"?>
<Relationships xmlns="http://schemas.openxmlformats.org/package/2006/relationships"><Relationship Id="rId1" Type="http://schemas.openxmlformats.org/officeDocument/2006/relationships/drawing" Target="../drawings/drawing102.xml"/></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103.xml"/></Relationships>
</file>

<file path=xl/worksheets/_rels/sheet104.xml.rels><?xml version="1.0" encoding="UTF-8" standalone="yes"?>
<Relationships xmlns="http://schemas.openxmlformats.org/package/2006/relationships"><Relationship Id="rId1" Type="http://schemas.openxmlformats.org/officeDocument/2006/relationships/drawing" Target="../drawings/drawing104.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105.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106.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107.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108.xml"/></Relationships>
</file>

<file path=xl/worksheets/_rels/sheet109.xml.rels><?xml version="1.0" encoding="UTF-8" standalone="yes"?>
<Relationships xmlns="http://schemas.openxmlformats.org/package/2006/relationships"><Relationship Id="rId1" Type="http://schemas.openxmlformats.org/officeDocument/2006/relationships/drawing" Target="../drawings/drawing109.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110.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111.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112.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113.xml"/></Relationships>
</file>

<file path=xl/worksheets/_rels/sheet114.xml.rels><?xml version="1.0" encoding="UTF-8" standalone="yes"?>
<Relationships xmlns="http://schemas.openxmlformats.org/package/2006/relationships"><Relationship Id="rId1" Type="http://schemas.openxmlformats.org/officeDocument/2006/relationships/drawing" Target="../drawings/drawing114.xml"/></Relationships>
</file>

<file path=xl/worksheets/_rels/sheet115.xml.rels><?xml version="1.0" encoding="UTF-8" standalone="yes"?>
<Relationships xmlns="http://schemas.openxmlformats.org/package/2006/relationships"><Relationship Id="rId1" Type="http://schemas.openxmlformats.org/officeDocument/2006/relationships/drawing" Target="../drawings/drawing115.xml"/></Relationships>
</file>

<file path=xl/worksheets/_rels/sheet116.xml.rels><?xml version="1.0" encoding="UTF-8" standalone="yes"?>
<Relationships xmlns="http://schemas.openxmlformats.org/package/2006/relationships"><Relationship Id="rId1" Type="http://schemas.openxmlformats.org/officeDocument/2006/relationships/drawing" Target="../drawings/drawing116.xml"/></Relationships>
</file>

<file path=xl/worksheets/_rels/sheet117.xml.rels><?xml version="1.0" encoding="UTF-8" standalone="yes"?>
<Relationships xmlns="http://schemas.openxmlformats.org/package/2006/relationships"><Relationship Id="rId1" Type="http://schemas.openxmlformats.org/officeDocument/2006/relationships/drawing" Target="../drawings/drawing117.xml"/></Relationships>
</file>

<file path=xl/worksheets/_rels/sheet118.xml.rels><?xml version="1.0" encoding="UTF-8" standalone="yes"?>
<Relationships xmlns="http://schemas.openxmlformats.org/package/2006/relationships"><Relationship Id="rId1" Type="http://schemas.openxmlformats.org/officeDocument/2006/relationships/drawing" Target="../drawings/drawing118.xml"/></Relationships>
</file>

<file path=xl/worksheets/_rels/sheet119.xml.rels><?xml version="1.0" encoding="UTF-8" standalone="yes"?>
<Relationships xmlns="http://schemas.openxmlformats.org/package/2006/relationships"><Relationship Id="rId1" Type="http://schemas.openxmlformats.org/officeDocument/2006/relationships/drawing" Target="../drawings/drawing119.xml"/></Relationships>
</file>

<file path=xl/worksheets/_rels/sheet120.xml.rels><?xml version="1.0" encoding="UTF-8" standalone="yes"?>
<Relationships xmlns="http://schemas.openxmlformats.org/package/2006/relationships"><Relationship Id="rId1" Type="http://schemas.openxmlformats.org/officeDocument/2006/relationships/drawing" Target="../drawings/drawing120.xml"/></Relationships>
</file>

<file path=xl/worksheets/_rels/sheet121.xml.rels><?xml version="1.0" encoding="UTF-8" standalone="yes"?>
<Relationships xmlns="http://schemas.openxmlformats.org/package/2006/relationships"><Relationship Id="rId1" Type="http://schemas.openxmlformats.org/officeDocument/2006/relationships/drawing" Target="../drawings/drawing121.xml"/></Relationships>
</file>

<file path=xl/worksheets/_rels/sheet122.xml.rels><?xml version="1.0" encoding="UTF-8" standalone="yes"?>
<Relationships xmlns="http://schemas.openxmlformats.org/package/2006/relationships"><Relationship Id="rId1" Type="http://schemas.openxmlformats.org/officeDocument/2006/relationships/drawing" Target="../drawings/drawing122.xml"/></Relationships>
</file>

<file path=xl/worksheets/_rels/sheet123.xml.rels><?xml version="1.0" encoding="UTF-8" standalone="yes"?>
<Relationships xmlns="http://schemas.openxmlformats.org/package/2006/relationships"><Relationship Id="rId1" Type="http://schemas.openxmlformats.org/officeDocument/2006/relationships/drawing" Target="../drawings/drawing123.xml"/></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124.xml"/></Relationships>
</file>

<file path=xl/worksheets/_rels/sheet125.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9.xml"/></Relationships>
</file>

<file path=xl/worksheets/_rels/sheet130.xml.rels><?xml version="1.0" encoding="UTF-8" standalone="yes"?>
<Relationships xmlns="http://schemas.openxmlformats.org/package/2006/relationships"><Relationship Id="rId1" Type="http://schemas.openxmlformats.org/officeDocument/2006/relationships/drawing" Target="../drawings/drawing130.xml"/></Relationships>
</file>

<file path=xl/worksheets/_rels/sheet131.xml.rels><?xml version="1.0" encoding="UTF-8" standalone="yes"?>
<Relationships xmlns="http://schemas.openxmlformats.org/package/2006/relationships"><Relationship Id="rId1" Type="http://schemas.openxmlformats.org/officeDocument/2006/relationships/drawing" Target="../drawings/drawing131.xml"/></Relationships>
</file>

<file path=xl/worksheets/_rels/sheet132.xml.rels><?xml version="1.0" encoding="UTF-8" standalone="yes"?>
<Relationships xmlns="http://schemas.openxmlformats.org/package/2006/relationships"><Relationship Id="rId1" Type="http://schemas.openxmlformats.org/officeDocument/2006/relationships/drawing" Target="../drawings/drawing132.xml"/></Relationships>
</file>

<file path=xl/worksheets/_rels/sheet133.xml.rels><?xml version="1.0" encoding="UTF-8" standalone="yes"?>
<Relationships xmlns="http://schemas.openxmlformats.org/package/2006/relationships"><Relationship Id="rId1" Type="http://schemas.openxmlformats.org/officeDocument/2006/relationships/drawing" Target="../drawings/drawing133.xml"/></Relationships>
</file>

<file path=xl/worksheets/_rels/sheet134.xml.rels><?xml version="1.0" encoding="UTF-8" standalone="yes"?>
<Relationships xmlns="http://schemas.openxmlformats.org/package/2006/relationships"><Relationship Id="rId1" Type="http://schemas.openxmlformats.org/officeDocument/2006/relationships/drawing" Target="../drawings/drawing134.xml"/></Relationships>
</file>

<file path=xl/worksheets/_rels/sheet135.xml.rels><?xml version="1.0" encoding="UTF-8" standalone="yes"?>
<Relationships xmlns="http://schemas.openxmlformats.org/package/2006/relationships"><Relationship Id="rId1" Type="http://schemas.openxmlformats.org/officeDocument/2006/relationships/drawing" Target="../drawings/drawing135.xml"/></Relationships>
</file>

<file path=xl/worksheets/_rels/sheet136.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9.xml"/></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1.xml"/></Relationships>
</file>

<file path=xl/worksheets/_rels/sheet142.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4.xml"/></Relationships>
</file>

<file path=xl/worksheets/_rels/sheet145.xml.rels><?xml version="1.0" encoding="UTF-8" standalone="yes"?>
<Relationships xmlns="http://schemas.openxmlformats.org/package/2006/relationships"><Relationship Id="rId1" Type="http://schemas.openxmlformats.org/officeDocument/2006/relationships/drawing" Target="../drawings/drawing145.xml"/></Relationships>
</file>

<file path=xl/worksheets/_rels/sheet146.xml.rels><?xml version="1.0" encoding="UTF-8" standalone="yes"?>
<Relationships xmlns="http://schemas.openxmlformats.org/package/2006/relationships"><Relationship Id="rId1" Type="http://schemas.openxmlformats.org/officeDocument/2006/relationships/drawing" Target="../drawings/drawing146.xml"/></Relationships>
</file>

<file path=xl/worksheets/_rels/sheet147.xml.rels><?xml version="1.0" encoding="UTF-8" standalone="yes"?>
<Relationships xmlns="http://schemas.openxmlformats.org/package/2006/relationships"><Relationship Id="rId1" Type="http://schemas.openxmlformats.org/officeDocument/2006/relationships/drawing" Target="../drawings/drawing147.xml"/></Relationships>
</file>

<file path=xl/worksheets/_rels/sheet148.xml.rels><?xml version="1.0" encoding="UTF-8" standalone="yes"?>
<Relationships xmlns="http://schemas.openxmlformats.org/package/2006/relationships"><Relationship Id="rId1" Type="http://schemas.openxmlformats.org/officeDocument/2006/relationships/drawing" Target="../drawings/drawing148.xml"/></Relationships>
</file>

<file path=xl/worksheets/_rels/sheet149.xml.rels><?xml version="1.0" encoding="UTF-8" standalone="yes"?>
<Relationships xmlns="http://schemas.openxmlformats.org/package/2006/relationships"><Relationship Id="rId1" Type="http://schemas.openxmlformats.org/officeDocument/2006/relationships/drawing" Target="../drawings/drawing149.xml"/></Relationships>
</file>

<file path=xl/worksheets/_rels/sheet150.xml.rels><?xml version="1.0" encoding="UTF-8" standalone="yes"?>
<Relationships xmlns="http://schemas.openxmlformats.org/package/2006/relationships"><Relationship Id="rId1" Type="http://schemas.openxmlformats.org/officeDocument/2006/relationships/drawing" Target="../drawings/drawing150.xml"/></Relationships>
</file>

<file path=xl/worksheets/_rels/sheet151.xml.rels><?xml version="1.0" encoding="UTF-8" standalone="yes"?>
<Relationships xmlns="http://schemas.openxmlformats.org/package/2006/relationships"><Relationship Id="rId1" Type="http://schemas.openxmlformats.org/officeDocument/2006/relationships/drawing" Target="../drawings/drawing151.xml"/></Relationships>
</file>

<file path=xl/worksheets/_rels/sheet152.xml.rels><?xml version="1.0" encoding="UTF-8" standalone="yes"?>
<Relationships xmlns="http://schemas.openxmlformats.org/package/2006/relationships"><Relationship Id="rId1" Type="http://schemas.openxmlformats.org/officeDocument/2006/relationships/drawing" Target="../drawings/drawing152.xml"/></Relationships>
</file>

<file path=xl/worksheets/_rels/sheet153.xml.rels><?xml version="1.0" encoding="UTF-8" standalone="yes"?>
<Relationships xmlns="http://schemas.openxmlformats.org/package/2006/relationships"><Relationship Id="rId1" Type="http://schemas.openxmlformats.org/officeDocument/2006/relationships/drawing" Target="../drawings/drawing153.xml"/></Relationships>
</file>

<file path=xl/worksheets/_rels/sheet154.xml.rels><?xml version="1.0" encoding="UTF-8" standalone="yes"?>
<Relationships xmlns="http://schemas.openxmlformats.org/package/2006/relationships"><Relationship Id="rId1" Type="http://schemas.openxmlformats.org/officeDocument/2006/relationships/drawing" Target="../drawings/drawing154.xml"/></Relationships>
</file>

<file path=xl/worksheets/_rels/sheet155.xml.rels><?xml version="1.0" encoding="UTF-8" standalone="yes"?>
<Relationships xmlns="http://schemas.openxmlformats.org/package/2006/relationships"><Relationship Id="rId1" Type="http://schemas.openxmlformats.org/officeDocument/2006/relationships/drawing" Target="../drawings/drawing155.xml"/></Relationships>
</file>

<file path=xl/worksheets/_rels/sheet156.xml.rels><?xml version="1.0" encoding="UTF-8" standalone="yes"?>
<Relationships xmlns="http://schemas.openxmlformats.org/package/2006/relationships"><Relationship Id="rId1" Type="http://schemas.openxmlformats.org/officeDocument/2006/relationships/drawing" Target="../drawings/drawing156.xml"/></Relationships>
</file>

<file path=xl/worksheets/_rels/sheet157.xml.rels><?xml version="1.0" encoding="UTF-8" standalone="yes"?>
<Relationships xmlns="http://schemas.openxmlformats.org/package/2006/relationships"><Relationship Id="rId1" Type="http://schemas.openxmlformats.org/officeDocument/2006/relationships/drawing" Target="../drawings/drawing157.xml"/></Relationships>
</file>

<file path=xl/worksheets/_rels/sheet158.xml.rels><?xml version="1.0" encoding="UTF-8" standalone="yes"?>
<Relationships xmlns="http://schemas.openxmlformats.org/package/2006/relationships"><Relationship Id="rId1" Type="http://schemas.openxmlformats.org/officeDocument/2006/relationships/drawing" Target="../drawings/drawing158.xml"/></Relationships>
</file>

<file path=xl/worksheets/_rels/sheet159.xml.rels><?xml version="1.0" encoding="UTF-8" standalone="yes"?>
<Relationships xmlns="http://schemas.openxmlformats.org/package/2006/relationships"><Relationship Id="rId1" Type="http://schemas.openxmlformats.org/officeDocument/2006/relationships/drawing" Target="../drawings/drawing159.xml"/></Relationships>
</file>

<file path=xl/worksheets/_rels/sheet160.xml.rels><?xml version="1.0" encoding="UTF-8" standalone="yes"?>
<Relationships xmlns="http://schemas.openxmlformats.org/package/2006/relationships"><Relationship Id="rId1" Type="http://schemas.openxmlformats.org/officeDocument/2006/relationships/drawing" Target="../drawings/drawing160.xml"/></Relationships>
</file>

<file path=xl/worksheets/_rels/sheet161.xml.rels><?xml version="1.0" encoding="UTF-8" standalone="yes"?>
<Relationships xmlns="http://schemas.openxmlformats.org/package/2006/relationships"><Relationship Id="rId1" Type="http://schemas.openxmlformats.org/officeDocument/2006/relationships/drawing" Target="../drawings/drawing161.xml"/></Relationships>
</file>

<file path=xl/worksheets/_rels/sheet162.xml.rels><?xml version="1.0" encoding="UTF-8" standalone="yes"?>
<Relationships xmlns="http://schemas.openxmlformats.org/package/2006/relationships"><Relationship Id="rId1" Type="http://schemas.openxmlformats.org/officeDocument/2006/relationships/drawing" Target="../drawings/drawing162.xml"/></Relationships>
</file>

<file path=xl/worksheets/_rels/sheet163.xml.rels><?xml version="1.0" encoding="UTF-8" standalone="yes"?>
<Relationships xmlns="http://schemas.openxmlformats.org/package/2006/relationships"><Relationship Id="rId1" Type="http://schemas.openxmlformats.org/officeDocument/2006/relationships/drawing" Target="../drawings/drawing163.xml"/></Relationships>
</file>

<file path=xl/worksheets/_rels/sheet164.xml.rels><?xml version="1.0" encoding="UTF-8" standalone="yes"?>
<Relationships xmlns="http://schemas.openxmlformats.org/package/2006/relationships"><Relationship Id="rId1" Type="http://schemas.openxmlformats.org/officeDocument/2006/relationships/drawing" Target="../drawings/drawing164.xml"/></Relationships>
</file>

<file path=xl/worksheets/_rels/sheet165.xml.rels><?xml version="1.0" encoding="UTF-8" standalone="yes"?>
<Relationships xmlns="http://schemas.openxmlformats.org/package/2006/relationships"><Relationship Id="rId1" Type="http://schemas.openxmlformats.org/officeDocument/2006/relationships/drawing" Target="../drawings/drawing165.xml"/></Relationships>
</file>

<file path=xl/worksheets/_rels/sheet166.xml.rels><?xml version="1.0" encoding="UTF-8" standalone="yes"?>
<Relationships xmlns="http://schemas.openxmlformats.org/package/2006/relationships"><Relationship Id="rId1" Type="http://schemas.openxmlformats.org/officeDocument/2006/relationships/drawing" Target="../drawings/drawing166.xml"/></Relationships>
</file>

<file path=xl/worksheets/_rels/sheet167.xml.rels><?xml version="1.0" encoding="UTF-8" standalone="yes"?>
<Relationships xmlns="http://schemas.openxmlformats.org/package/2006/relationships"><Relationship Id="rId1" Type="http://schemas.openxmlformats.org/officeDocument/2006/relationships/drawing" Target="../drawings/drawing167.xml"/></Relationships>
</file>

<file path=xl/worksheets/_rels/sheet168.xml.rels><?xml version="1.0" encoding="UTF-8" standalone="yes"?>
<Relationships xmlns="http://schemas.openxmlformats.org/package/2006/relationships"><Relationship Id="rId1" Type="http://schemas.openxmlformats.org/officeDocument/2006/relationships/drawing" Target="../drawings/drawing168.xml"/></Relationships>
</file>

<file path=xl/worksheets/_rels/sheet169.xml.rels><?xml version="1.0" encoding="UTF-8" standalone="yes"?>
<Relationships xmlns="http://schemas.openxmlformats.org/package/2006/relationships"><Relationship Id="rId1" Type="http://schemas.openxmlformats.org/officeDocument/2006/relationships/drawing" Target="../drawings/drawing169.xml"/></Relationships>
</file>

<file path=xl/worksheets/_rels/sheet170.xml.rels><?xml version="1.0" encoding="UTF-8" standalone="yes"?>
<Relationships xmlns="http://schemas.openxmlformats.org/package/2006/relationships"><Relationship Id="rId1" Type="http://schemas.openxmlformats.org/officeDocument/2006/relationships/drawing" Target="../drawings/drawing170.xml"/></Relationships>
</file>

<file path=xl/worksheets/_rels/sheet171.xml.rels><?xml version="1.0" encoding="UTF-8" standalone="yes"?>
<Relationships xmlns="http://schemas.openxmlformats.org/package/2006/relationships"><Relationship Id="rId1" Type="http://schemas.openxmlformats.org/officeDocument/2006/relationships/drawing" Target="../drawings/drawing171.xml"/></Relationships>
</file>

<file path=xl/worksheets/_rels/sheet172.xml.rels><?xml version="1.0" encoding="UTF-8" standalone="yes"?>
<Relationships xmlns="http://schemas.openxmlformats.org/package/2006/relationships"><Relationship Id="rId1" Type="http://schemas.openxmlformats.org/officeDocument/2006/relationships/drawing" Target="../drawings/drawing172.xml"/></Relationships>
</file>

<file path=xl/worksheets/_rels/sheet173.xml.rels><?xml version="1.0" encoding="UTF-8" standalone="yes"?>
<Relationships xmlns="http://schemas.openxmlformats.org/package/2006/relationships"><Relationship Id="rId1" Type="http://schemas.openxmlformats.org/officeDocument/2006/relationships/drawing" Target="../drawings/drawing173.xml"/></Relationships>
</file>

<file path=xl/worksheets/_rels/sheet174.xml.rels><?xml version="1.0" encoding="UTF-8" standalone="yes"?>
<Relationships xmlns="http://schemas.openxmlformats.org/package/2006/relationships"><Relationship Id="rId1" Type="http://schemas.openxmlformats.org/officeDocument/2006/relationships/drawing" Target="../drawings/drawing174.xml"/></Relationships>
</file>

<file path=xl/worksheets/_rels/sheet175.xml.rels><?xml version="1.0" encoding="UTF-8" standalone="yes"?>
<Relationships xmlns="http://schemas.openxmlformats.org/package/2006/relationships"><Relationship Id="rId1" Type="http://schemas.openxmlformats.org/officeDocument/2006/relationships/drawing" Target="../drawings/drawing175.xml"/></Relationships>
</file>

<file path=xl/worksheets/_rels/sheet176.xml.rels><?xml version="1.0" encoding="UTF-8" standalone="yes"?>
<Relationships xmlns="http://schemas.openxmlformats.org/package/2006/relationships"><Relationship Id="rId1" Type="http://schemas.openxmlformats.org/officeDocument/2006/relationships/drawing" Target="../drawings/drawing176.xml"/></Relationships>
</file>

<file path=xl/worksheets/_rels/sheet177.xml.rels><?xml version="1.0" encoding="UTF-8" standalone="yes"?>
<Relationships xmlns="http://schemas.openxmlformats.org/package/2006/relationships"><Relationship Id="rId1" Type="http://schemas.openxmlformats.org/officeDocument/2006/relationships/drawing" Target="../drawings/drawing177.xml"/></Relationships>
</file>

<file path=xl/worksheets/_rels/sheet178.xml.rels><?xml version="1.0" encoding="UTF-8" standalone="yes"?>
<Relationships xmlns="http://schemas.openxmlformats.org/package/2006/relationships"><Relationship Id="rId1" Type="http://schemas.openxmlformats.org/officeDocument/2006/relationships/drawing" Target="../drawings/drawing178.xml"/></Relationships>
</file>

<file path=xl/worksheets/_rels/sheet179.xml.rels><?xml version="1.0" encoding="UTF-8" standalone="yes"?>
<Relationships xmlns="http://schemas.openxmlformats.org/package/2006/relationships"><Relationship Id="rId1" Type="http://schemas.openxmlformats.org/officeDocument/2006/relationships/drawing" Target="../drawings/drawing179.xml"/></Relationships>
</file>

<file path=xl/worksheets/_rels/sheet180.xml.rels><?xml version="1.0" encoding="UTF-8" standalone="yes"?>
<Relationships xmlns="http://schemas.openxmlformats.org/package/2006/relationships"><Relationship Id="rId1" Type="http://schemas.openxmlformats.org/officeDocument/2006/relationships/drawing" Target="../drawings/drawing180.xml"/></Relationships>
</file>

<file path=xl/worksheets/_rels/sheet181.xml.rels><?xml version="1.0" encoding="UTF-8" standalone="yes"?>
<Relationships xmlns="http://schemas.openxmlformats.org/package/2006/relationships"><Relationship Id="rId1" Type="http://schemas.openxmlformats.org/officeDocument/2006/relationships/drawing" Target="../drawings/drawing181.xml"/></Relationships>
</file>

<file path=xl/worksheets/_rels/sheet182.xml.rels><?xml version="1.0" encoding="UTF-8" standalone="yes"?>
<Relationships xmlns="http://schemas.openxmlformats.org/package/2006/relationships"><Relationship Id="rId1" Type="http://schemas.openxmlformats.org/officeDocument/2006/relationships/drawing" Target="../drawings/drawing182.xml"/></Relationships>
</file>

<file path=xl/worksheets/_rels/sheet183.xml.rels><?xml version="1.0" encoding="UTF-8" standalone="yes"?>
<Relationships xmlns="http://schemas.openxmlformats.org/package/2006/relationships"><Relationship Id="rId1" Type="http://schemas.openxmlformats.org/officeDocument/2006/relationships/drawing" Target="../drawings/drawing183.xml"/></Relationships>
</file>

<file path=xl/worksheets/_rels/sheet184.xml.rels><?xml version="1.0" encoding="UTF-8" standalone="yes"?>
<Relationships xmlns="http://schemas.openxmlformats.org/package/2006/relationships"><Relationship Id="rId1" Type="http://schemas.openxmlformats.org/officeDocument/2006/relationships/drawing" Target="../drawings/drawing184.xml"/></Relationships>
</file>

<file path=xl/worksheets/_rels/sheet185.xml.rels><?xml version="1.0" encoding="UTF-8" standalone="yes"?>
<Relationships xmlns="http://schemas.openxmlformats.org/package/2006/relationships"><Relationship Id="rId1" Type="http://schemas.openxmlformats.org/officeDocument/2006/relationships/drawing" Target="../drawings/drawing185.xml"/></Relationships>
</file>

<file path=xl/worksheets/_rels/sheet186.xml.rels><?xml version="1.0" encoding="UTF-8" standalone="yes"?>
<Relationships xmlns="http://schemas.openxmlformats.org/package/2006/relationships"><Relationship Id="rId1" Type="http://schemas.openxmlformats.org/officeDocument/2006/relationships/drawing" Target="../drawings/drawing186.xml"/></Relationships>
</file>

<file path=xl/worksheets/_rels/sheet187.xml.rels><?xml version="1.0" encoding="UTF-8" standalone="yes"?>
<Relationships xmlns="http://schemas.openxmlformats.org/package/2006/relationships"><Relationship Id="rId1" Type="http://schemas.openxmlformats.org/officeDocument/2006/relationships/drawing" Target="../drawings/drawing187.xml"/></Relationships>
</file>

<file path=xl/worksheets/_rels/sheet188.xml.rels><?xml version="1.0" encoding="UTF-8" standalone="yes"?>
<Relationships xmlns="http://schemas.openxmlformats.org/package/2006/relationships"><Relationship Id="rId1" Type="http://schemas.openxmlformats.org/officeDocument/2006/relationships/drawing" Target="../drawings/drawing188.xml"/></Relationships>
</file>

<file path=xl/worksheets/_rels/sheet189.xml.rels><?xml version="1.0" encoding="UTF-8" standalone="yes"?>
<Relationships xmlns="http://schemas.openxmlformats.org/package/2006/relationships"><Relationship Id="rId1" Type="http://schemas.openxmlformats.org/officeDocument/2006/relationships/drawing" Target="../drawings/drawing189.xml"/></Relationships>
</file>

<file path=xl/worksheets/_rels/sheet190.xml.rels><?xml version="1.0" encoding="UTF-8" standalone="yes"?>
<Relationships xmlns="http://schemas.openxmlformats.org/package/2006/relationships"><Relationship Id="rId1" Type="http://schemas.openxmlformats.org/officeDocument/2006/relationships/drawing" Target="../drawings/drawing190.xml"/></Relationships>
</file>

<file path=xl/worksheets/_rels/sheet191.xml.rels><?xml version="1.0" encoding="UTF-8" standalone="yes"?>
<Relationships xmlns="http://schemas.openxmlformats.org/package/2006/relationships"><Relationship Id="rId1" Type="http://schemas.openxmlformats.org/officeDocument/2006/relationships/drawing" Target="../drawings/drawing191.xml"/></Relationships>
</file>

<file path=xl/worksheets/_rels/sheet192.xml.rels><?xml version="1.0" encoding="UTF-8" standalone="yes"?>
<Relationships xmlns="http://schemas.openxmlformats.org/package/2006/relationships"><Relationship Id="rId1" Type="http://schemas.openxmlformats.org/officeDocument/2006/relationships/drawing" Target="../drawings/drawing192.xml"/></Relationships>
</file>

<file path=xl/worksheets/_rels/sheet193.xml.rels><?xml version="1.0" encoding="UTF-8" standalone="yes"?>
<Relationships xmlns="http://schemas.openxmlformats.org/package/2006/relationships"><Relationship Id="rId1" Type="http://schemas.openxmlformats.org/officeDocument/2006/relationships/drawing" Target="../drawings/drawing193.xml"/></Relationships>
</file>

<file path=xl/worksheets/_rels/sheet194.xml.rels><?xml version="1.0" encoding="UTF-8" standalone="yes"?>
<Relationships xmlns="http://schemas.openxmlformats.org/package/2006/relationships"><Relationship Id="rId1" Type="http://schemas.openxmlformats.org/officeDocument/2006/relationships/drawing" Target="../drawings/drawing194.xml"/></Relationships>
</file>

<file path=xl/worksheets/_rels/sheet195.xml.rels><?xml version="1.0" encoding="UTF-8" standalone="yes"?>
<Relationships xmlns="http://schemas.openxmlformats.org/package/2006/relationships"><Relationship Id="rId1" Type="http://schemas.openxmlformats.org/officeDocument/2006/relationships/drawing" Target="../drawings/drawing195.xml"/></Relationships>
</file>

<file path=xl/worksheets/_rels/sheet196.xml.rels><?xml version="1.0" encoding="UTF-8" standalone="yes"?>
<Relationships xmlns="http://schemas.openxmlformats.org/package/2006/relationships"><Relationship Id="rId1" Type="http://schemas.openxmlformats.org/officeDocument/2006/relationships/drawing" Target="../drawings/drawing196.xml"/></Relationships>
</file>

<file path=xl/worksheets/_rels/sheet197.xml.rels><?xml version="1.0" encoding="UTF-8" standalone="yes"?>
<Relationships xmlns="http://schemas.openxmlformats.org/package/2006/relationships"><Relationship Id="rId1" Type="http://schemas.openxmlformats.org/officeDocument/2006/relationships/drawing" Target="../drawings/drawing197.xml"/></Relationships>
</file>

<file path=xl/worksheets/_rels/sheet198.xml.rels><?xml version="1.0" encoding="UTF-8" standalone="yes"?>
<Relationships xmlns="http://schemas.openxmlformats.org/package/2006/relationships"><Relationship Id="rId1" Type="http://schemas.openxmlformats.org/officeDocument/2006/relationships/drawing" Target="../drawings/drawing198.xml"/></Relationships>
</file>

<file path=xl/worksheets/_rels/sheet199.xml.rels><?xml version="1.0" encoding="UTF-8" standalone="yes"?>
<Relationships xmlns="http://schemas.openxmlformats.org/package/2006/relationships"><Relationship Id="rId1" Type="http://schemas.openxmlformats.org/officeDocument/2006/relationships/drawing" Target="../drawings/drawing199.xml"/></Relationships>
</file>

<file path=xl/worksheets/_rels/sheet200.xml.rels><?xml version="1.0" encoding="UTF-8" standalone="yes"?>
<Relationships xmlns="http://schemas.openxmlformats.org/package/2006/relationships"><Relationship Id="rId1" Type="http://schemas.openxmlformats.org/officeDocument/2006/relationships/drawing" Target="../drawings/drawing200.xml"/></Relationships>
</file>

<file path=xl/worksheets/_rels/sheet201.xml.rels><?xml version="1.0" encoding="UTF-8" standalone="yes"?>
<Relationships xmlns="http://schemas.openxmlformats.org/package/2006/relationships"><Relationship Id="rId1" Type="http://schemas.openxmlformats.org/officeDocument/2006/relationships/drawing" Target="../drawings/drawing201.xml"/></Relationships>
</file>

<file path=xl/worksheets/_rels/sheet202.xml.rels><?xml version="1.0" encoding="UTF-8" standalone="yes"?>
<Relationships xmlns="http://schemas.openxmlformats.org/package/2006/relationships"><Relationship Id="rId1" Type="http://schemas.openxmlformats.org/officeDocument/2006/relationships/drawing" Target="../drawings/drawing202.xml"/></Relationships>
</file>

<file path=xl/worksheets/_rels/sheet203.xml.rels><?xml version="1.0" encoding="UTF-8" standalone="yes"?>
<Relationships xmlns="http://schemas.openxmlformats.org/package/2006/relationships"><Relationship Id="rId1" Type="http://schemas.openxmlformats.org/officeDocument/2006/relationships/drawing" Target="../drawings/drawing203.xml"/></Relationships>
</file>

<file path=xl/worksheets/_rels/sheet204.xml.rels><?xml version="1.0" encoding="UTF-8" standalone="yes"?>
<Relationships xmlns="http://schemas.openxmlformats.org/package/2006/relationships"><Relationship Id="rId1" Type="http://schemas.openxmlformats.org/officeDocument/2006/relationships/drawing" Target="../drawings/drawing204.xml"/></Relationships>
</file>

<file path=xl/worksheets/_rels/sheet205.xml.rels><?xml version="1.0" encoding="UTF-8" standalone="yes"?>
<Relationships xmlns="http://schemas.openxmlformats.org/package/2006/relationships"><Relationship Id="rId1" Type="http://schemas.openxmlformats.org/officeDocument/2006/relationships/drawing" Target="../drawings/drawing205.xml"/></Relationships>
</file>

<file path=xl/worksheets/_rels/sheet206.xml.rels><?xml version="1.0" encoding="UTF-8" standalone="yes"?>
<Relationships xmlns="http://schemas.openxmlformats.org/package/2006/relationships"><Relationship Id="rId1" Type="http://schemas.openxmlformats.org/officeDocument/2006/relationships/drawing" Target="../drawings/drawing206.xml"/></Relationships>
</file>

<file path=xl/worksheets/_rels/sheet207.xml.rels><?xml version="1.0" encoding="UTF-8" standalone="yes"?>
<Relationships xmlns="http://schemas.openxmlformats.org/package/2006/relationships"><Relationship Id="rId1" Type="http://schemas.openxmlformats.org/officeDocument/2006/relationships/drawing" Target="../drawings/drawing207.xml"/></Relationships>
</file>

<file path=xl/worksheets/_rels/sheet208.xml.rels><?xml version="1.0" encoding="UTF-8" standalone="yes"?>
<Relationships xmlns="http://schemas.openxmlformats.org/package/2006/relationships"><Relationship Id="rId1" Type="http://schemas.openxmlformats.org/officeDocument/2006/relationships/drawing" Target="../drawings/drawing208.xml"/></Relationships>
</file>

<file path=xl/worksheets/_rels/sheet209.xml.rels><?xml version="1.0" encoding="UTF-8" standalone="yes"?>
<Relationships xmlns="http://schemas.openxmlformats.org/package/2006/relationships"><Relationship Id="rId1" Type="http://schemas.openxmlformats.org/officeDocument/2006/relationships/drawing" Target="../drawings/drawing209.xml"/></Relationships>
</file>

<file path=xl/worksheets/_rels/sheet210.xml.rels><?xml version="1.0" encoding="UTF-8" standalone="yes"?>
<Relationships xmlns="http://schemas.openxmlformats.org/package/2006/relationships"><Relationship Id="rId1" Type="http://schemas.openxmlformats.org/officeDocument/2006/relationships/drawing" Target="../drawings/drawing210.xml"/></Relationships>
</file>

<file path=xl/worksheets/_rels/sheet211.xml.rels><?xml version="1.0" encoding="UTF-8" standalone="yes"?>
<Relationships xmlns="http://schemas.openxmlformats.org/package/2006/relationships"><Relationship Id="rId1" Type="http://schemas.openxmlformats.org/officeDocument/2006/relationships/drawing" Target="../drawings/drawing211.xml"/></Relationships>
</file>

<file path=xl/worksheets/_rels/sheet212.xml.rels><?xml version="1.0" encoding="UTF-8" standalone="yes"?>
<Relationships xmlns="http://schemas.openxmlformats.org/package/2006/relationships"><Relationship Id="rId1" Type="http://schemas.openxmlformats.org/officeDocument/2006/relationships/drawing" Target="../drawings/drawing212.xml"/></Relationships>
</file>

<file path=xl/worksheets/_rels/sheet213.xml.rels><?xml version="1.0" encoding="UTF-8" standalone="yes"?>
<Relationships xmlns="http://schemas.openxmlformats.org/package/2006/relationships"><Relationship Id="rId1" Type="http://schemas.openxmlformats.org/officeDocument/2006/relationships/drawing" Target="../drawings/drawing213.xml"/></Relationships>
</file>

<file path=xl/worksheets/_rels/sheet214.xml.rels><?xml version="1.0" encoding="UTF-8" standalone="yes"?>
<Relationships xmlns="http://schemas.openxmlformats.org/package/2006/relationships"><Relationship Id="rId1" Type="http://schemas.openxmlformats.org/officeDocument/2006/relationships/drawing" Target="../drawings/drawing214.xml"/></Relationships>
</file>

<file path=xl/worksheets/_rels/sheet215.xml.rels><?xml version="1.0" encoding="UTF-8" standalone="yes"?>
<Relationships xmlns="http://schemas.openxmlformats.org/package/2006/relationships"><Relationship Id="rId1" Type="http://schemas.openxmlformats.org/officeDocument/2006/relationships/drawing" Target="../drawings/drawing215.xml"/></Relationships>
</file>

<file path=xl/worksheets/_rels/sheet216.xml.rels><?xml version="1.0" encoding="UTF-8" standalone="yes"?>
<Relationships xmlns="http://schemas.openxmlformats.org/package/2006/relationships"><Relationship Id="rId1" Type="http://schemas.openxmlformats.org/officeDocument/2006/relationships/drawing" Target="../drawings/drawing216.xml"/></Relationships>
</file>

<file path=xl/worksheets/_rels/sheet217.xml.rels><?xml version="1.0" encoding="UTF-8" standalone="yes"?>
<Relationships xmlns="http://schemas.openxmlformats.org/package/2006/relationships"><Relationship Id="rId1" Type="http://schemas.openxmlformats.org/officeDocument/2006/relationships/drawing" Target="../drawings/drawing2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218"/>
  <sheetViews>
    <sheetView tabSelected="1" topLeftCell="A4" zoomScale="117" workbookViewId="0">
      <selection activeCell="M24" sqref="M24"/>
    </sheetView>
  </sheetViews>
  <sheetFormatPr defaultColWidth="11" defaultRowHeight="15.75" x14ac:dyDescent="0.25"/>
  <cols>
    <col min="2" max="2" width="13" style="24" customWidth="1"/>
    <col min="3" max="3" width="17.375" customWidth="1"/>
    <col min="4" max="4" width="14.125" customWidth="1"/>
    <col min="5" max="5" width="12.375" customWidth="1"/>
    <col min="6" max="6" width="12.625" customWidth="1"/>
    <col min="7" max="7" width="12" hidden="1" customWidth="1"/>
    <col min="9" max="9" width="37.375" customWidth="1"/>
    <col min="11" max="11" width="15" customWidth="1"/>
  </cols>
  <sheetData>
    <row r="2" spans="1:15" ht="94.5" x14ac:dyDescent="0.25">
      <c r="A2" t="s">
        <v>5</v>
      </c>
      <c r="B2" s="23" t="s">
        <v>16</v>
      </c>
      <c r="C2" s="2" t="s">
        <v>10</v>
      </c>
      <c r="D2" s="2" t="s">
        <v>1</v>
      </c>
      <c r="E2" s="2" t="s">
        <v>2</v>
      </c>
      <c r="F2" s="2" t="s">
        <v>3</v>
      </c>
      <c r="G2" s="2" t="s">
        <v>4</v>
      </c>
      <c r="I2" s="10" t="s">
        <v>236</v>
      </c>
      <c r="J2" s="5">
        <v>0</v>
      </c>
      <c r="K2" s="29"/>
      <c r="L2" s="24" t="s">
        <v>254</v>
      </c>
    </row>
    <row r="3" spans="1:15" ht="18.95" customHeight="1" x14ac:dyDescent="0.25">
      <c r="A3" s="12">
        <v>1</v>
      </c>
      <c r="B3" s="24" t="str">
        <f>IF('Scenario 1'!C94="","Not Complete","Complete")</f>
        <v>Not Complete</v>
      </c>
      <c r="C3" t="s">
        <v>6</v>
      </c>
      <c r="D3" t="s">
        <v>9</v>
      </c>
      <c r="E3">
        <v>0.8</v>
      </c>
      <c r="F3" s="3">
        <v>1E-3</v>
      </c>
      <c r="G3" s="4">
        <v>0.2</v>
      </c>
      <c r="I3" s="10" t="s">
        <v>239</v>
      </c>
      <c r="J3" s="5">
        <v>0</v>
      </c>
      <c r="L3" t="s">
        <v>245</v>
      </c>
      <c r="M3" t="s">
        <v>246</v>
      </c>
      <c r="N3" t="s">
        <v>247</v>
      </c>
      <c r="O3" t="s">
        <v>242</v>
      </c>
    </row>
    <row r="4" spans="1:15" x14ac:dyDescent="0.25">
      <c r="A4">
        <v>2</v>
      </c>
      <c r="B4" s="24" t="str">
        <f>IF('Scenario 2'!C94="","Not Complete","Complete")</f>
        <v>Not Complete</v>
      </c>
      <c r="C4" t="s">
        <v>6</v>
      </c>
      <c r="D4" t="s">
        <v>9</v>
      </c>
      <c r="E4">
        <v>0.8</v>
      </c>
      <c r="F4" s="3">
        <v>0.01</v>
      </c>
      <c r="G4" s="4">
        <v>0.2</v>
      </c>
      <c r="I4" s="10" t="s">
        <v>241</v>
      </c>
      <c r="J4" s="5">
        <v>0</v>
      </c>
      <c r="L4">
        <v>4593328</v>
      </c>
      <c r="M4" t="s">
        <v>243</v>
      </c>
      <c r="N4" t="s">
        <v>252</v>
      </c>
    </row>
    <row r="5" spans="1:15" x14ac:dyDescent="0.25">
      <c r="A5">
        <v>3</v>
      </c>
      <c r="B5" s="24" t="str">
        <f>IF('Scenario 3'!C94="","Not Complete","Complete")</f>
        <v>Not Complete</v>
      </c>
      <c r="C5" t="s">
        <v>6</v>
      </c>
      <c r="D5" t="s">
        <v>9</v>
      </c>
      <c r="E5">
        <v>1.2</v>
      </c>
      <c r="F5" s="3">
        <v>1E-3</v>
      </c>
      <c r="G5" s="4">
        <v>0.2</v>
      </c>
      <c r="I5" s="10" t="s">
        <v>240</v>
      </c>
      <c r="J5" s="5">
        <v>0</v>
      </c>
      <c r="L5">
        <v>989847</v>
      </c>
      <c r="M5" t="s">
        <v>244</v>
      </c>
      <c r="N5" s="31" t="s">
        <v>249</v>
      </c>
    </row>
    <row r="6" spans="1:15" x14ac:dyDescent="0.25">
      <c r="A6">
        <v>4</v>
      </c>
      <c r="B6" s="24" t="str">
        <f>IF('Scenario 4'!C94="","Not Complete","Complete")</f>
        <v>Not Complete</v>
      </c>
      <c r="C6" t="s">
        <v>6</v>
      </c>
      <c r="D6" t="s">
        <v>9</v>
      </c>
      <c r="E6">
        <v>1.2</v>
      </c>
      <c r="F6" s="3">
        <v>0.01</v>
      </c>
      <c r="G6" s="4">
        <v>0.2</v>
      </c>
      <c r="L6">
        <v>69.510000000000005</v>
      </c>
      <c r="M6" t="s">
        <v>248</v>
      </c>
      <c r="N6" s="31" t="s">
        <v>253</v>
      </c>
    </row>
    <row r="7" spans="1:15" x14ac:dyDescent="0.25">
      <c r="A7">
        <v>5</v>
      </c>
      <c r="B7" s="24" t="str">
        <f>IF('Scenario 5'!C94="","Not Complete","Complete")</f>
        <v>Not Complete</v>
      </c>
      <c r="C7" t="s">
        <v>6</v>
      </c>
      <c r="D7" t="s">
        <v>9</v>
      </c>
      <c r="E7">
        <v>2</v>
      </c>
      <c r="F7" s="3">
        <v>1E-3</v>
      </c>
      <c r="G7" s="4">
        <v>0.2</v>
      </c>
      <c r="L7">
        <v>37.9</v>
      </c>
      <c r="M7" t="s">
        <v>250</v>
      </c>
      <c r="N7" t="s">
        <v>251</v>
      </c>
    </row>
    <row r="8" spans="1:15" x14ac:dyDescent="0.25">
      <c r="A8">
        <v>6</v>
      </c>
      <c r="B8" s="24" t="str">
        <f>IF('Scenario 6'!$C$94="","Not Complete","Complete")</f>
        <v>Not Complete</v>
      </c>
      <c r="C8" t="s">
        <v>6</v>
      </c>
      <c r="D8" t="s">
        <v>9</v>
      </c>
      <c r="E8">
        <v>2</v>
      </c>
      <c r="F8" s="3">
        <v>0.01</v>
      </c>
      <c r="G8" s="4">
        <v>0.2</v>
      </c>
      <c r="L8">
        <v>6065</v>
      </c>
      <c r="M8" t="s">
        <v>255</v>
      </c>
      <c r="N8" t="s">
        <v>257</v>
      </c>
    </row>
    <row r="9" spans="1:15" x14ac:dyDescent="0.25">
      <c r="A9">
        <v>7</v>
      </c>
      <c r="B9" s="24" t="str">
        <f>IF('Scenario 7'!$C$94="","Not Complete","Complete")</f>
        <v>Not Complete</v>
      </c>
      <c r="C9" t="s">
        <v>6</v>
      </c>
      <c r="D9" t="s">
        <v>8</v>
      </c>
      <c r="E9">
        <v>0.8</v>
      </c>
      <c r="F9" s="3">
        <v>1E-3</v>
      </c>
      <c r="G9" s="4">
        <v>0.2</v>
      </c>
      <c r="K9" t="s">
        <v>270</v>
      </c>
      <c r="L9">
        <v>1411</v>
      </c>
      <c r="M9" t="s">
        <v>256</v>
      </c>
      <c r="N9" t="s">
        <v>257</v>
      </c>
    </row>
    <row r="10" spans="1:15" x14ac:dyDescent="0.25">
      <c r="A10">
        <v>8</v>
      </c>
      <c r="B10" s="24" t="str">
        <f>IF('Scenario 8'!$C$94="","Not Complete","Complete")</f>
        <v>Not Complete</v>
      </c>
      <c r="C10" t="s">
        <v>6</v>
      </c>
      <c r="D10" t="s">
        <v>8</v>
      </c>
      <c r="E10">
        <v>0.8</v>
      </c>
      <c r="F10" s="3">
        <v>0.01</v>
      </c>
      <c r="G10" s="4">
        <v>0.2</v>
      </c>
      <c r="K10">
        <f>ROUND(L10,0)</f>
        <v>757</v>
      </c>
      <c r="L10">
        <f>L4/L8</f>
        <v>757.35004122011537</v>
      </c>
      <c r="M10" t="s">
        <v>258</v>
      </c>
    </row>
    <row r="11" spans="1:15" x14ac:dyDescent="0.25">
      <c r="A11">
        <v>9</v>
      </c>
      <c r="B11" s="24" t="str">
        <f>IF('Scenario 9'!$C$94="","Not Complete","Complete")</f>
        <v>Not Complete</v>
      </c>
      <c r="C11" t="s">
        <v>6</v>
      </c>
      <c r="D11" t="s">
        <v>8</v>
      </c>
      <c r="E11">
        <v>1.2</v>
      </c>
      <c r="F11" s="3">
        <v>1E-3</v>
      </c>
      <c r="G11" s="4">
        <v>0.2</v>
      </c>
      <c r="K11">
        <f t="shared" ref="K11:K15" si="0">ROUND(L11,0)</f>
        <v>702</v>
      </c>
      <c r="L11">
        <f>L5/L9</f>
        <v>701.52161587526575</v>
      </c>
      <c r="M11" t="s">
        <v>259</v>
      </c>
    </row>
    <row r="12" spans="1:15" x14ac:dyDescent="0.25">
      <c r="A12">
        <v>10</v>
      </c>
      <c r="B12" s="24" t="str">
        <f>IF('Scenario 10'!$C$94="","Not Complete","Complete")</f>
        <v>Not Complete</v>
      </c>
      <c r="C12" t="s">
        <v>6</v>
      </c>
      <c r="D12" t="s">
        <v>8</v>
      </c>
      <c r="E12">
        <v>1.2</v>
      </c>
      <c r="F12" s="3">
        <v>0.01</v>
      </c>
      <c r="G12" s="4">
        <v>0.2</v>
      </c>
      <c r="K12">
        <f t="shared" si="0"/>
        <v>11</v>
      </c>
      <c r="L12">
        <f>L10/L6</f>
        <v>10.8955551894708</v>
      </c>
      <c r="M12" t="s">
        <v>262</v>
      </c>
    </row>
    <row r="13" spans="1:15" x14ac:dyDescent="0.25">
      <c r="A13">
        <v>11</v>
      </c>
      <c r="B13" s="24" t="str">
        <f>IF('Scenario 11'!$C$94="","Not Complete","Complete")</f>
        <v>Not Complete</v>
      </c>
      <c r="C13" t="s">
        <v>6</v>
      </c>
      <c r="D13" t="s">
        <v>8</v>
      </c>
      <c r="E13">
        <v>2</v>
      </c>
      <c r="F13" s="3">
        <v>1E-3</v>
      </c>
      <c r="G13" s="4">
        <v>0.2</v>
      </c>
      <c r="K13">
        <f t="shared" si="0"/>
        <v>19</v>
      </c>
      <c r="L13">
        <f>L11/L7</f>
        <v>18.509805168212818</v>
      </c>
      <c r="M13" t="s">
        <v>263</v>
      </c>
    </row>
    <row r="14" spans="1:15" x14ac:dyDescent="0.25">
      <c r="A14">
        <v>12</v>
      </c>
      <c r="B14" s="24" t="str">
        <f>IF('Scenario 12'!$C$94="","Not Complete","Complete")</f>
        <v>Not Complete</v>
      </c>
      <c r="C14" t="s">
        <v>6</v>
      </c>
      <c r="D14" t="s">
        <v>8</v>
      </c>
      <c r="E14">
        <v>2</v>
      </c>
      <c r="F14" s="3">
        <v>0.01</v>
      </c>
      <c r="G14" s="4">
        <v>0.2</v>
      </c>
      <c r="K14">
        <f t="shared" si="0"/>
        <v>768</v>
      </c>
      <c r="L14">
        <f>L12+L10</f>
        <v>768.24559640958614</v>
      </c>
      <c r="M14" t="s">
        <v>264</v>
      </c>
    </row>
    <row r="15" spans="1:15" x14ac:dyDescent="0.25">
      <c r="A15">
        <v>13</v>
      </c>
      <c r="B15" s="24" t="str">
        <f>IF('Scenario 13'!$C$94="","Not Complete","Complete")</f>
        <v>Not Complete</v>
      </c>
      <c r="C15" t="s">
        <v>6</v>
      </c>
      <c r="D15" t="s">
        <v>7</v>
      </c>
      <c r="E15">
        <v>0.8</v>
      </c>
      <c r="F15" s="3">
        <v>1E-3</v>
      </c>
      <c r="G15" s="4">
        <v>0.2</v>
      </c>
      <c r="K15">
        <f t="shared" si="0"/>
        <v>720</v>
      </c>
      <c r="L15">
        <f>L13+L11</f>
        <v>720.03142104347853</v>
      </c>
      <c r="M15" t="s">
        <v>265</v>
      </c>
    </row>
    <row r="16" spans="1:15" x14ac:dyDescent="0.25">
      <c r="A16">
        <v>14</v>
      </c>
      <c r="B16" s="24" t="str">
        <f>IF('Scenario 14'!$C$94="","Not Complete","Complete")</f>
        <v>Not Complete</v>
      </c>
      <c r="C16" t="s">
        <v>6</v>
      </c>
      <c r="D16" t="s">
        <v>7</v>
      </c>
      <c r="E16">
        <v>0.8</v>
      </c>
      <c r="F16" s="3">
        <v>0.01</v>
      </c>
      <c r="G16" s="4">
        <v>0.2</v>
      </c>
      <c r="L16">
        <f>5/7</f>
        <v>0.7142857142857143</v>
      </c>
      <c r="M16" t="s">
        <v>271</v>
      </c>
    </row>
    <row r="17" spans="1:13" x14ac:dyDescent="0.25">
      <c r="A17">
        <v>15</v>
      </c>
      <c r="B17" s="24" t="str">
        <f>IF('Scenario 15'!$C$94="","Not Complete","Complete")</f>
        <v>Not Complete</v>
      </c>
      <c r="C17" t="s">
        <v>6</v>
      </c>
      <c r="D17" t="s">
        <v>7</v>
      </c>
      <c r="E17">
        <v>1.2</v>
      </c>
      <c r="F17" s="3">
        <v>1E-3</v>
      </c>
      <c r="G17" s="4">
        <v>0.2</v>
      </c>
      <c r="L17" s="3">
        <f>0.8/L14/$L$16</f>
        <v>1.4578671263907616E-3</v>
      </c>
      <c r="M17" t="s">
        <v>260</v>
      </c>
    </row>
    <row r="18" spans="1:13" x14ac:dyDescent="0.25">
      <c r="A18">
        <v>16</v>
      </c>
      <c r="B18" s="24" t="str">
        <f>IF('Scenario 16'!$C$94="","Not Complete","Complete")</f>
        <v>Not Complete</v>
      </c>
      <c r="C18" t="s">
        <v>6</v>
      </c>
      <c r="D18" t="s">
        <v>7</v>
      </c>
      <c r="E18">
        <v>1.2</v>
      </c>
      <c r="F18" s="3">
        <v>0.01</v>
      </c>
      <c r="G18" s="4">
        <v>0.2</v>
      </c>
      <c r="L18" s="3">
        <f>0.8/L15/$L$16</f>
        <v>1.5554876735474712E-3</v>
      </c>
      <c r="M18" t="s">
        <v>261</v>
      </c>
    </row>
    <row r="19" spans="1:13" x14ac:dyDescent="0.25">
      <c r="A19">
        <v>17</v>
      </c>
      <c r="B19" s="24" t="str">
        <f>IF('Scenario 17'!$C$94="","Not Complete","Complete")</f>
        <v>Not Complete</v>
      </c>
      <c r="C19" t="s">
        <v>6</v>
      </c>
      <c r="D19" t="s">
        <v>7</v>
      </c>
      <c r="E19">
        <v>2</v>
      </c>
      <c r="F19" s="3">
        <v>1E-3</v>
      </c>
      <c r="G19" s="4">
        <v>0.2</v>
      </c>
      <c r="L19" s="3">
        <f>1.2/L14/$L$16</f>
        <v>2.1868006895861421E-3</v>
      </c>
      <c r="M19" t="s">
        <v>266</v>
      </c>
    </row>
    <row r="20" spans="1:13" x14ac:dyDescent="0.25">
      <c r="A20">
        <v>18</v>
      </c>
      <c r="B20" s="24" t="str">
        <f>IF('Scenario 18'!$C$94="","Not Complete","Complete")</f>
        <v>Not Complete</v>
      </c>
      <c r="C20" t="s">
        <v>6</v>
      </c>
      <c r="D20" t="s">
        <v>7</v>
      </c>
      <c r="E20">
        <v>2</v>
      </c>
      <c r="F20" s="3">
        <v>0.01</v>
      </c>
      <c r="G20" s="4">
        <v>0.2</v>
      </c>
      <c r="L20" s="3">
        <f>1.2/L15/$L$16</f>
        <v>2.3332315103212061E-3</v>
      </c>
      <c r="M20" t="s">
        <v>267</v>
      </c>
    </row>
    <row r="21" spans="1:13" x14ac:dyDescent="0.25">
      <c r="A21">
        <v>19</v>
      </c>
      <c r="B21" s="24" t="str">
        <f>IF('Scenario 19'!$C$94="","Not Complete","Complete")</f>
        <v>Not Complete</v>
      </c>
      <c r="C21" t="s">
        <v>6</v>
      </c>
      <c r="D21" t="s">
        <v>7</v>
      </c>
      <c r="E21">
        <v>2</v>
      </c>
      <c r="F21" s="3">
        <v>0.01</v>
      </c>
      <c r="G21" s="4">
        <v>0.2</v>
      </c>
      <c r="L21" s="3">
        <f>2/L14/$L$16</f>
        <v>3.6446678159769035E-3</v>
      </c>
      <c r="M21" t="s">
        <v>268</v>
      </c>
    </row>
    <row r="22" spans="1:13" x14ac:dyDescent="0.25">
      <c r="A22">
        <v>20</v>
      </c>
      <c r="B22" s="24" t="str">
        <f>IF('Scenario 20'!$C$94="","Not Complete","Complete")</f>
        <v>Not Complete</v>
      </c>
      <c r="C22" t="s">
        <v>12</v>
      </c>
      <c r="D22" t="s">
        <v>9</v>
      </c>
      <c r="E22">
        <v>0.8</v>
      </c>
      <c r="F22" s="3">
        <v>1E-3</v>
      </c>
      <c r="G22" s="4">
        <v>0.2</v>
      </c>
      <c r="L22" s="3">
        <f>2/L15/$L$16</f>
        <v>3.8887191838686773E-3</v>
      </c>
      <c r="M22" t="s">
        <v>269</v>
      </c>
    </row>
    <row r="23" spans="1:13" x14ac:dyDescent="0.25">
      <c r="A23">
        <v>21</v>
      </c>
      <c r="B23" s="24" t="str">
        <f>IF('Scenario 21'!$C$94="","Not Complete","Complete")</f>
        <v>Not Complete</v>
      </c>
      <c r="C23" t="s">
        <v>12</v>
      </c>
      <c r="D23" t="s">
        <v>9</v>
      </c>
      <c r="E23">
        <v>0.8</v>
      </c>
      <c r="F23" s="3">
        <v>0.01</v>
      </c>
      <c r="G23" s="4">
        <v>0.2</v>
      </c>
    </row>
    <row r="24" spans="1:13" x14ac:dyDescent="0.25">
      <c r="A24">
        <v>22</v>
      </c>
      <c r="B24" s="24" t="str">
        <f>IF('Scenario 22'!$C$94="","Not Complete","Complete")</f>
        <v>Not Complete</v>
      </c>
      <c r="C24" t="s">
        <v>12</v>
      </c>
      <c r="D24" t="s">
        <v>9</v>
      </c>
      <c r="E24">
        <v>1.2</v>
      </c>
      <c r="F24" s="3">
        <v>1E-3</v>
      </c>
      <c r="G24" s="4">
        <v>0.2</v>
      </c>
    </row>
    <row r="25" spans="1:13" x14ac:dyDescent="0.25">
      <c r="A25">
        <v>23</v>
      </c>
      <c r="B25" s="24" t="str">
        <f>IF('Scenario 23'!$C$94="","Not Complete","Complete")</f>
        <v>Not Complete</v>
      </c>
      <c r="C25" t="s">
        <v>12</v>
      </c>
      <c r="D25" t="s">
        <v>9</v>
      </c>
      <c r="E25">
        <v>1.2</v>
      </c>
      <c r="F25" s="3">
        <v>0.01</v>
      </c>
      <c r="G25" s="4">
        <v>0.2</v>
      </c>
    </row>
    <row r="26" spans="1:13" x14ac:dyDescent="0.25">
      <c r="A26">
        <v>24</v>
      </c>
      <c r="B26" s="24" t="str">
        <f>IF('Scenario 24'!$C$94="","Not Complete","Complete")</f>
        <v>Not Complete</v>
      </c>
      <c r="C26" t="s">
        <v>12</v>
      </c>
      <c r="D26" t="s">
        <v>9</v>
      </c>
      <c r="E26">
        <v>2</v>
      </c>
      <c r="F26" s="3">
        <v>1E-3</v>
      </c>
      <c r="G26" s="4">
        <v>0.2</v>
      </c>
    </row>
    <row r="27" spans="1:13" x14ac:dyDescent="0.25">
      <c r="A27">
        <v>25</v>
      </c>
      <c r="B27" s="24" t="str">
        <f>IF('Scenario 25'!$C$94="","Not Complete","Complete")</f>
        <v>Not Complete</v>
      </c>
      <c r="C27" t="s">
        <v>12</v>
      </c>
      <c r="D27" t="s">
        <v>9</v>
      </c>
      <c r="E27">
        <v>2</v>
      </c>
      <c r="F27" s="3">
        <v>0.01</v>
      </c>
      <c r="G27" s="4">
        <v>0.2</v>
      </c>
    </row>
    <row r="28" spans="1:13" x14ac:dyDescent="0.25">
      <c r="A28">
        <v>26</v>
      </c>
      <c r="B28" s="24" t="str">
        <f>IF('Scenario 26'!$C$94="","Not Complete","Complete")</f>
        <v>Not Complete</v>
      </c>
      <c r="C28" t="s">
        <v>12</v>
      </c>
      <c r="D28" t="s">
        <v>8</v>
      </c>
      <c r="E28">
        <v>0.8</v>
      </c>
      <c r="F28" s="3">
        <v>1E-3</v>
      </c>
      <c r="G28" s="4">
        <v>0.2</v>
      </c>
    </row>
    <row r="29" spans="1:13" x14ac:dyDescent="0.25">
      <c r="A29">
        <v>27</v>
      </c>
      <c r="B29" s="24" t="str">
        <f>IF('Scenario 27'!$C$94="","Not Complete","Complete")</f>
        <v>Not Complete</v>
      </c>
      <c r="C29" t="s">
        <v>12</v>
      </c>
      <c r="D29" t="s">
        <v>8</v>
      </c>
      <c r="E29">
        <v>0.8</v>
      </c>
      <c r="F29" s="3">
        <v>0.01</v>
      </c>
      <c r="G29" s="4">
        <v>0.2</v>
      </c>
    </row>
    <row r="30" spans="1:13" x14ac:dyDescent="0.25">
      <c r="A30">
        <v>28</v>
      </c>
      <c r="B30" s="24" t="str">
        <f>IF('Scenario 28'!$C$94="","Not Complete","Complete")</f>
        <v>Not Complete</v>
      </c>
      <c r="C30" t="s">
        <v>12</v>
      </c>
      <c r="D30" t="s">
        <v>8</v>
      </c>
      <c r="E30">
        <v>1.2</v>
      </c>
      <c r="F30" s="3">
        <v>1E-3</v>
      </c>
      <c r="G30" s="4">
        <v>0.2</v>
      </c>
    </row>
    <row r="31" spans="1:13" x14ac:dyDescent="0.25">
      <c r="A31">
        <v>29</v>
      </c>
      <c r="B31" s="24" t="str">
        <f>IF('Scenario 29'!$C$94="","Not Complete","Complete")</f>
        <v>Not Complete</v>
      </c>
      <c r="C31" t="s">
        <v>12</v>
      </c>
      <c r="D31" t="s">
        <v>8</v>
      </c>
      <c r="E31">
        <v>1.2</v>
      </c>
      <c r="F31" s="3">
        <v>0.01</v>
      </c>
      <c r="G31" s="4">
        <v>0.2</v>
      </c>
    </row>
    <row r="32" spans="1:13" x14ac:dyDescent="0.25">
      <c r="A32">
        <v>30</v>
      </c>
      <c r="B32" s="24" t="str">
        <f>IF('Scenario 30'!$C$94="","Not Complete","Complete")</f>
        <v>Not Complete</v>
      </c>
      <c r="C32" t="s">
        <v>12</v>
      </c>
      <c r="D32" t="s">
        <v>8</v>
      </c>
      <c r="E32">
        <v>2</v>
      </c>
      <c r="F32" s="3">
        <v>1E-3</v>
      </c>
      <c r="G32" s="4">
        <v>0.2</v>
      </c>
    </row>
    <row r="33" spans="1:7" x14ac:dyDescent="0.25">
      <c r="A33">
        <v>31</v>
      </c>
      <c r="B33" s="24" t="str">
        <f>IF('Scenario 31'!$C$94="","Not Complete","Complete")</f>
        <v>Not Complete</v>
      </c>
      <c r="C33" t="s">
        <v>12</v>
      </c>
      <c r="D33" t="s">
        <v>8</v>
      </c>
      <c r="E33">
        <v>2</v>
      </c>
      <c r="F33" s="3">
        <v>0.01</v>
      </c>
      <c r="G33" s="4">
        <v>0.2</v>
      </c>
    </row>
    <row r="34" spans="1:7" x14ac:dyDescent="0.25">
      <c r="A34">
        <v>32</v>
      </c>
      <c r="B34" s="24" t="str">
        <f>IF('Scenario 32'!$C$94="","Not Complete","Complete")</f>
        <v>Not Complete</v>
      </c>
      <c r="C34" t="s">
        <v>12</v>
      </c>
      <c r="D34" t="s">
        <v>7</v>
      </c>
      <c r="E34">
        <v>0.8</v>
      </c>
      <c r="F34" s="3">
        <v>1E-3</v>
      </c>
      <c r="G34" s="4">
        <v>0.2</v>
      </c>
    </row>
    <row r="35" spans="1:7" x14ac:dyDescent="0.25">
      <c r="A35">
        <v>33</v>
      </c>
      <c r="B35" s="24" t="str">
        <f>IF('Scenario 33'!$C$94="","Not Complete","Complete")</f>
        <v>Not Complete</v>
      </c>
      <c r="C35" t="s">
        <v>12</v>
      </c>
      <c r="D35" t="s">
        <v>7</v>
      </c>
      <c r="E35">
        <v>0.8</v>
      </c>
      <c r="F35" s="3">
        <v>0.01</v>
      </c>
      <c r="G35" s="4">
        <v>0.2</v>
      </c>
    </row>
    <row r="36" spans="1:7" x14ac:dyDescent="0.25">
      <c r="A36">
        <v>34</v>
      </c>
      <c r="B36" s="24" t="str">
        <f>IF('Scenario 34'!$C$94="","Not Complete","Complete")</f>
        <v>Not Complete</v>
      </c>
      <c r="C36" t="s">
        <v>12</v>
      </c>
      <c r="D36" t="s">
        <v>7</v>
      </c>
      <c r="E36">
        <v>1.2</v>
      </c>
      <c r="F36" s="3">
        <v>1E-3</v>
      </c>
      <c r="G36" s="4">
        <v>0.2</v>
      </c>
    </row>
    <row r="37" spans="1:7" x14ac:dyDescent="0.25">
      <c r="A37">
        <v>35</v>
      </c>
      <c r="B37" s="24" t="str">
        <f>IF('Scenario 35'!$C$94="","Not Complete","Complete")</f>
        <v>Not Complete</v>
      </c>
      <c r="C37" t="s">
        <v>12</v>
      </c>
      <c r="D37" t="s">
        <v>7</v>
      </c>
      <c r="E37">
        <v>1.2</v>
      </c>
      <c r="F37" s="3">
        <v>0.01</v>
      </c>
      <c r="G37" s="4">
        <v>0.2</v>
      </c>
    </row>
    <row r="38" spans="1:7" x14ac:dyDescent="0.25">
      <c r="A38">
        <v>36</v>
      </c>
      <c r="B38" s="24" t="str">
        <f>IF('Scenario 36'!$C$94="","Not Complete","Complete")</f>
        <v>Not Complete</v>
      </c>
      <c r="C38" t="s">
        <v>12</v>
      </c>
      <c r="D38" t="s">
        <v>7</v>
      </c>
      <c r="E38">
        <v>2</v>
      </c>
      <c r="F38" s="3">
        <v>1E-3</v>
      </c>
      <c r="G38" s="4">
        <v>0.2</v>
      </c>
    </row>
    <row r="39" spans="1:7" x14ac:dyDescent="0.25">
      <c r="A39">
        <v>37</v>
      </c>
      <c r="B39" s="24" t="str">
        <f>IF('Scenario 37'!$C$94="","Not Complete","Complete")</f>
        <v>Not Complete</v>
      </c>
      <c r="C39" t="s">
        <v>12</v>
      </c>
      <c r="D39" t="s">
        <v>7</v>
      </c>
      <c r="E39">
        <v>2</v>
      </c>
      <c r="F39" s="3">
        <v>0.01</v>
      </c>
      <c r="G39" s="4">
        <v>0.2</v>
      </c>
    </row>
    <row r="40" spans="1:7" x14ac:dyDescent="0.25">
      <c r="A40">
        <v>38</v>
      </c>
      <c r="B40" s="24" t="str">
        <f>IF('Scenario 38'!$C$94="","Not Complete","Complete")</f>
        <v>Not Complete</v>
      </c>
      <c r="C40" t="s">
        <v>11</v>
      </c>
      <c r="D40" t="s">
        <v>9</v>
      </c>
      <c r="E40">
        <v>0.8</v>
      </c>
      <c r="F40" s="3">
        <v>1E-3</v>
      </c>
      <c r="G40" s="4">
        <v>0.2</v>
      </c>
    </row>
    <row r="41" spans="1:7" x14ac:dyDescent="0.25">
      <c r="A41">
        <v>39</v>
      </c>
      <c r="B41" s="24" t="str">
        <f>IF('Scenario 39'!$C$94="","Not Complete","Complete")</f>
        <v>Not Complete</v>
      </c>
      <c r="C41" t="s">
        <v>11</v>
      </c>
      <c r="D41" t="s">
        <v>9</v>
      </c>
      <c r="E41">
        <v>0.8</v>
      </c>
      <c r="F41" s="3">
        <v>0.01</v>
      </c>
      <c r="G41" s="4">
        <v>0.2</v>
      </c>
    </row>
    <row r="42" spans="1:7" x14ac:dyDescent="0.25">
      <c r="A42">
        <v>40</v>
      </c>
      <c r="B42" s="24" t="str">
        <f>IF('Scenario 40'!$C$94="","Not Complete","Complete")</f>
        <v>Not Complete</v>
      </c>
      <c r="C42" t="s">
        <v>11</v>
      </c>
      <c r="D42" t="s">
        <v>9</v>
      </c>
      <c r="E42">
        <v>1.2</v>
      </c>
      <c r="F42" s="3">
        <v>1E-3</v>
      </c>
      <c r="G42" s="4">
        <v>0.2</v>
      </c>
    </row>
    <row r="43" spans="1:7" x14ac:dyDescent="0.25">
      <c r="A43">
        <v>41</v>
      </c>
      <c r="B43" s="24" t="str">
        <f>IF('Scenario 41'!$C$94="","Not Complete","Complete")</f>
        <v>Not Complete</v>
      </c>
      <c r="C43" t="s">
        <v>11</v>
      </c>
      <c r="D43" t="s">
        <v>9</v>
      </c>
      <c r="E43">
        <v>1.2</v>
      </c>
      <c r="F43" s="3">
        <v>0.01</v>
      </c>
      <c r="G43" s="4">
        <v>0.2</v>
      </c>
    </row>
    <row r="44" spans="1:7" x14ac:dyDescent="0.25">
      <c r="A44">
        <v>42</v>
      </c>
      <c r="B44" s="24" t="str">
        <f>IF('Scenario 42'!$C$94="","Not Complete","Complete")</f>
        <v>Not Complete</v>
      </c>
      <c r="C44" t="s">
        <v>11</v>
      </c>
      <c r="D44" t="s">
        <v>9</v>
      </c>
      <c r="E44">
        <v>2</v>
      </c>
      <c r="F44" s="3">
        <v>1E-3</v>
      </c>
      <c r="G44" s="4">
        <v>0.2</v>
      </c>
    </row>
    <row r="45" spans="1:7" x14ac:dyDescent="0.25">
      <c r="A45">
        <v>43</v>
      </c>
      <c r="B45" s="24" t="str">
        <f>IF('Scenario 43'!$C$94="","Not Complete","Complete")</f>
        <v>Not Complete</v>
      </c>
      <c r="C45" t="s">
        <v>11</v>
      </c>
      <c r="D45" t="s">
        <v>9</v>
      </c>
      <c r="E45">
        <v>2</v>
      </c>
      <c r="F45" s="3">
        <v>0.01</v>
      </c>
      <c r="G45" s="4">
        <v>0.2</v>
      </c>
    </row>
    <row r="46" spans="1:7" x14ac:dyDescent="0.25">
      <c r="A46">
        <v>44</v>
      </c>
      <c r="B46" s="24" t="str">
        <f>IF('Scenario 44'!$C$94="","Not Complete","Complete")</f>
        <v>Not Complete</v>
      </c>
      <c r="C46" t="s">
        <v>11</v>
      </c>
      <c r="D46" t="s">
        <v>8</v>
      </c>
      <c r="E46">
        <v>0.8</v>
      </c>
      <c r="F46" s="3">
        <v>1E-3</v>
      </c>
      <c r="G46" s="4">
        <v>0.2</v>
      </c>
    </row>
    <row r="47" spans="1:7" x14ac:dyDescent="0.25">
      <c r="A47">
        <v>45</v>
      </c>
      <c r="B47" s="24" t="str">
        <f>IF('Scenario 45'!$C$94="","Not Complete","Complete")</f>
        <v>Not Complete</v>
      </c>
      <c r="C47" t="s">
        <v>11</v>
      </c>
      <c r="D47" t="s">
        <v>8</v>
      </c>
      <c r="E47">
        <v>0.8</v>
      </c>
      <c r="F47" s="3">
        <v>0.01</v>
      </c>
      <c r="G47" s="4">
        <v>0.2</v>
      </c>
    </row>
    <row r="48" spans="1:7" x14ac:dyDescent="0.25">
      <c r="A48">
        <v>46</v>
      </c>
      <c r="B48" s="24" t="str">
        <f>IF('Scenario 46'!$C$94="","Not Complete","Complete")</f>
        <v>Not Complete</v>
      </c>
      <c r="C48" t="s">
        <v>11</v>
      </c>
      <c r="D48" t="s">
        <v>8</v>
      </c>
      <c r="E48">
        <v>1.2</v>
      </c>
      <c r="F48" s="3">
        <v>1E-3</v>
      </c>
      <c r="G48" s="4">
        <v>0.2</v>
      </c>
    </row>
    <row r="49" spans="1:7" x14ac:dyDescent="0.25">
      <c r="A49">
        <v>47</v>
      </c>
      <c r="B49" s="24" t="str">
        <f>IF('Scenario 47'!$C$94="","Not Complete","Complete")</f>
        <v>Not Complete</v>
      </c>
      <c r="C49" t="s">
        <v>11</v>
      </c>
      <c r="D49" t="s">
        <v>8</v>
      </c>
      <c r="E49">
        <v>1.2</v>
      </c>
      <c r="F49" s="3">
        <v>0.01</v>
      </c>
      <c r="G49" s="4">
        <v>0.2</v>
      </c>
    </row>
    <row r="50" spans="1:7" x14ac:dyDescent="0.25">
      <c r="A50">
        <v>48</v>
      </c>
      <c r="B50" s="24" t="str">
        <f>IF('Scenario 48'!$C$94="","Not Complete","Complete")</f>
        <v>Not Complete</v>
      </c>
      <c r="C50" t="s">
        <v>11</v>
      </c>
      <c r="D50" t="s">
        <v>8</v>
      </c>
      <c r="E50">
        <v>2</v>
      </c>
      <c r="F50" s="3">
        <v>1E-3</v>
      </c>
      <c r="G50" s="4">
        <v>0.2</v>
      </c>
    </row>
    <row r="51" spans="1:7" x14ac:dyDescent="0.25">
      <c r="A51">
        <v>49</v>
      </c>
      <c r="B51" s="24" t="str">
        <f>IF('Scenario 49'!$C$94="","Not Complete","Complete")</f>
        <v>Not Complete</v>
      </c>
      <c r="C51" t="s">
        <v>11</v>
      </c>
      <c r="D51" t="s">
        <v>8</v>
      </c>
      <c r="E51">
        <v>2</v>
      </c>
      <c r="F51" s="3">
        <v>0.01</v>
      </c>
      <c r="G51" s="4">
        <v>0.2</v>
      </c>
    </row>
    <row r="52" spans="1:7" x14ac:dyDescent="0.25">
      <c r="A52">
        <v>50</v>
      </c>
      <c r="B52" s="24" t="str">
        <f>IF('Scenario 50'!$C$94="","Not Complete","Complete")</f>
        <v>Not Complete</v>
      </c>
      <c r="C52" t="s">
        <v>11</v>
      </c>
      <c r="D52" t="s">
        <v>7</v>
      </c>
      <c r="E52">
        <v>0.8</v>
      </c>
      <c r="F52" s="3">
        <v>1E-3</v>
      </c>
      <c r="G52" s="4">
        <v>0.2</v>
      </c>
    </row>
    <row r="53" spans="1:7" x14ac:dyDescent="0.25">
      <c r="A53">
        <v>51</v>
      </c>
      <c r="B53" s="24" t="str">
        <f>IF('Scenario 51'!$C$94="","Not Complete","Complete")</f>
        <v>Not Complete</v>
      </c>
      <c r="C53" t="s">
        <v>11</v>
      </c>
      <c r="D53" t="s">
        <v>7</v>
      </c>
      <c r="E53">
        <v>0.8</v>
      </c>
      <c r="F53" s="3">
        <v>0.01</v>
      </c>
      <c r="G53" s="4">
        <v>0.2</v>
      </c>
    </row>
    <row r="54" spans="1:7" x14ac:dyDescent="0.25">
      <c r="A54">
        <v>52</v>
      </c>
      <c r="B54" s="24" t="str">
        <f>IF('Scenario 52'!$C$94="","Not Complete","Complete")</f>
        <v>Not Complete</v>
      </c>
      <c r="C54" t="s">
        <v>11</v>
      </c>
      <c r="D54" t="s">
        <v>7</v>
      </c>
      <c r="E54">
        <v>1.2</v>
      </c>
      <c r="F54" s="3">
        <v>1E-3</v>
      </c>
      <c r="G54" s="4">
        <v>0.2</v>
      </c>
    </row>
    <row r="55" spans="1:7" x14ac:dyDescent="0.25">
      <c r="A55">
        <v>53</v>
      </c>
      <c r="B55" s="24" t="str">
        <f>IF('Scenario 53'!$C$94="","Not Complete","Complete")</f>
        <v>Not Complete</v>
      </c>
      <c r="C55" t="s">
        <v>11</v>
      </c>
      <c r="D55" t="s">
        <v>7</v>
      </c>
      <c r="E55">
        <v>1.2</v>
      </c>
      <c r="F55" s="3">
        <v>0.01</v>
      </c>
      <c r="G55" s="4">
        <v>0.2</v>
      </c>
    </row>
    <row r="56" spans="1:7" x14ac:dyDescent="0.25">
      <c r="A56">
        <v>54</v>
      </c>
      <c r="B56" s="24" t="str">
        <f>IF('Scenario 54'!$C$94="","Not Complete","Complete")</f>
        <v>Not Complete</v>
      </c>
      <c r="C56" t="s">
        <v>11</v>
      </c>
      <c r="D56" t="s">
        <v>7</v>
      </c>
      <c r="E56">
        <v>2</v>
      </c>
      <c r="F56" s="3">
        <v>1E-3</v>
      </c>
      <c r="G56" s="4">
        <v>0.2</v>
      </c>
    </row>
    <row r="57" spans="1:7" x14ac:dyDescent="0.25">
      <c r="A57">
        <v>55</v>
      </c>
      <c r="B57" s="24" t="str">
        <f>IF('Scenario 55'!$C$94="","Not Complete","Complete")</f>
        <v>Not Complete</v>
      </c>
      <c r="C57" t="s">
        <v>11</v>
      </c>
      <c r="D57" t="s">
        <v>7</v>
      </c>
      <c r="E57">
        <v>2</v>
      </c>
      <c r="F57" s="3">
        <v>0.01</v>
      </c>
      <c r="G57" s="4">
        <v>0.2</v>
      </c>
    </row>
    <row r="58" spans="1:7" x14ac:dyDescent="0.25">
      <c r="A58">
        <v>56</v>
      </c>
      <c r="B58" s="24" t="str">
        <f>IF('Scenario 56'!$C$94="","Not Complete","Complete")</f>
        <v>Not Complete</v>
      </c>
      <c r="C58" t="s">
        <v>230</v>
      </c>
      <c r="D58" t="s">
        <v>9</v>
      </c>
      <c r="E58">
        <v>0.8</v>
      </c>
      <c r="F58" s="3">
        <v>1E-3</v>
      </c>
      <c r="G58" s="4">
        <v>0.2</v>
      </c>
    </row>
    <row r="59" spans="1:7" x14ac:dyDescent="0.25">
      <c r="A59">
        <v>57</v>
      </c>
      <c r="B59" s="24" t="str">
        <f>IF('Scenario 57'!$C$94="","Not Complete","Complete")</f>
        <v>Not Complete</v>
      </c>
      <c r="C59" t="s">
        <v>230</v>
      </c>
      <c r="D59" t="s">
        <v>9</v>
      </c>
      <c r="E59">
        <v>0.8</v>
      </c>
      <c r="F59" s="3">
        <v>0.01</v>
      </c>
      <c r="G59" s="4">
        <v>0.2</v>
      </c>
    </row>
    <row r="60" spans="1:7" x14ac:dyDescent="0.25">
      <c r="A60">
        <v>58</v>
      </c>
      <c r="B60" s="24" t="str">
        <f>IF('Scenario 58'!$C$94="","Not Complete","Complete")</f>
        <v>Not Complete</v>
      </c>
      <c r="C60" t="s">
        <v>230</v>
      </c>
      <c r="D60" t="s">
        <v>9</v>
      </c>
      <c r="E60">
        <v>1.2</v>
      </c>
      <c r="F60" s="3">
        <v>1E-3</v>
      </c>
      <c r="G60" s="4">
        <v>0.2</v>
      </c>
    </row>
    <row r="61" spans="1:7" x14ac:dyDescent="0.25">
      <c r="A61">
        <v>59</v>
      </c>
      <c r="B61" s="24" t="str">
        <f>IF('Scenario 59'!$C$94="","Not Complete","Complete")</f>
        <v>Not Complete</v>
      </c>
      <c r="C61" t="s">
        <v>230</v>
      </c>
      <c r="D61" t="s">
        <v>9</v>
      </c>
      <c r="E61">
        <v>1.2</v>
      </c>
      <c r="F61" s="3">
        <v>0.01</v>
      </c>
      <c r="G61" s="4">
        <v>0.2</v>
      </c>
    </row>
    <row r="62" spans="1:7" x14ac:dyDescent="0.25">
      <c r="A62">
        <v>60</v>
      </c>
      <c r="B62" s="24" t="str">
        <f>IF('Scenario 60'!$C$94="","Not Complete","Complete")</f>
        <v>Not Complete</v>
      </c>
      <c r="C62" t="s">
        <v>230</v>
      </c>
      <c r="D62" t="s">
        <v>9</v>
      </c>
      <c r="E62">
        <v>2</v>
      </c>
      <c r="F62" s="3">
        <v>1E-3</v>
      </c>
      <c r="G62" s="4">
        <v>0.2</v>
      </c>
    </row>
    <row r="63" spans="1:7" x14ac:dyDescent="0.25">
      <c r="A63">
        <v>61</v>
      </c>
      <c r="B63" s="24" t="str">
        <f>IF('Scenario 61'!$C$94="","Not Complete","Complete")</f>
        <v>Not Complete</v>
      </c>
      <c r="C63" t="s">
        <v>230</v>
      </c>
      <c r="D63" t="s">
        <v>9</v>
      </c>
      <c r="E63">
        <v>2</v>
      </c>
      <c r="F63" s="3">
        <v>0.01</v>
      </c>
      <c r="G63" s="4">
        <v>0.2</v>
      </c>
    </row>
    <row r="64" spans="1:7" x14ac:dyDescent="0.25">
      <c r="A64">
        <v>62</v>
      </c>
      <c r="B64" s="24" t="str">
        <f>IF('Scenario 62'!$C$94="","Not Complete","Complete")</f>
        <v>Not Complete</v>
      </c>
      <c r="C64" t="s">
        <v>230</v>
      </c>
      <c r="D64" t="s">
        <v>8</v>
      </c>
      <c r="E64">
        <v>0.8</v>
      </c>
      <c r="F64" s="3">
        <v>1E-3</v>
      </c>
      <c r="G64" s="4">
        <v>0.2</v>
      </c>
    </row>
    <row r="65" spans="1:7" x14ac:dyDescent="0.25">
      <c r="A65">
        <v>63</v>
      </c>
      <c r="B65" s="24" t="str">
        <f>IF('Scenario 63'!$C$94="","Not Complete","Complete")</f>
        <v>Not Complete</v>
      </c>
      <c r="C65" t="s">
        <v>230</v>
      </c>
      <c r="D65" t="s">
        <v>8</v>
      </c>
      <c r="E65">
        <v>0.8</v>
      </c>
      <c r="F65" s="3">
        <v>0.01</v>
      </c>
      <c r="G65" s="4">
        <v>0.2</v>
      </c>
    </row>
    <row r="66" spans="1:7" x14ac:dyDescent="0.25">
      <c r="A66">
        <v>64</v>
      </c>
      <c r="B66" s="24" t="str">
        <f>IF('Scenario 64'!$C$94="","Not Complete","Complete")</f>
        <v>Not Complete</v>
      </c>
      <c r="C66" t="s">
        <v>230</v>
      </c>
      <c r="D66" t="s">
        <v>8</v>
      </c>
      <c r="E66">
        <v>1.2</v>
      </c>
      <c r="F66" s="3">
        <v>1E-3</v>
      </c>
      <c r="G66" s="4">
        <v>0.2</v>
      </c>
    </row>
    <row r="67" spans="1:7" x14ac:dyDescent="0.25">
      <c r="A67">
        <v>65</v>
      </c>
      <c r="B67" s="24" t="str">
        <f>IF('Scenario 65'!$C$94="","Not Complete","Complete")</f>
        <v>Not Complete</v>
      </c>
      <c r="C67" t="s">
        <v>230</v>
      </c>
      <c r="D67" t="s">
        <v>8</v>
      </c>
      <c r="E67">
        <v>1.2</v>
      </c>
      <c r="F67" s="3">
        <v>0.01</v>
      </c>
      <c r="G67" s="4">
        <v>0.2</v>
      </c>
    </row>
    <row r="68" spans="1:7" x14ac:dyDescent="0.25">
      <c r="A68">
        <v>66</v>
      </c>
      <c r="B68" s="24" t="str">
        <f>IF('Scenario 66'!$C$94="","Not Complete","Complete")</f>
        <v>Not Complete</v>
      </c>
      <c r="C68" t="s">
        <v>230</v>
      </c>
      <c r="D68" t="s">
        <v>8</v>
      </c>
      <c r="E68">
        <v>2</v>
      </c>
      <c r="F68" s="3">
        <v>1E-3</v>
      </c>
      <c r="G68" s="4">
        <v>0.2</v>
      </c>
    </row>
    <row r="69" spans="1:7" x14ac:dyDescent="0.25">
      <c r="A69">
        <v>67</v>
      </c>
      <c r="B69" s="24" t="str">
        <f>IF('Scenario 67'!$C$94="","Not Complete","Complete")</f>
        <v>Not Complete</v>
      </c>
      <c r="C69" t="s">
        <v>230</v>
      </c>
      <c r="D69" t="s">
        <v>8</v>
      </c>
      <c r="E69">
        <v>2</v>
      </c>
      <c r="F69" s="3">
        <v>0.01</v>
      </c>
      <c r="G69" s="4">
        <v>0.2</v>
      </c>
    </row>
    <row r="70" spans="1:7" x14ac:dyDescent="0.25">
      <c r="A70">
        <v>68</v>
      </c>
      <c r="B70" s="24" t="str">
        <f>IF('Scenario 68'!$C$94="","Not Complete","Complete")</f>
        <v>Not Complete</v>
      </c>
      <c r="C70" t="s">
        <v>230</v>
      </c>
      <c r="D70" t="s">
        <v>7</v>
      </c>
      <c r="E70">
        <v>0.8</v>
      </c>
      <c r="F70" s="3">
        <v>1E-3</v>
      </c>
      <c r="G70" s="4">
        <v>0.2</v>
      </c>
    </row>
    <row r="71" spans="1:7" x14ac:dyDescent="0.25">
      <c r="A71">
        <v>69</v>
      </c>
      <c r="B71" s="24" t="str">
        <f>IF('Scenario 69'!$C$94="","Not Complete","Complete")</f>
        <v>Not Complete</v>
      </c>
      <c r="C71" t="s">
        <v>230</v>
      </c>
      <c r="D71" t="s">
        <v>7</v>
      </c>
      <c r="E71">
        <v>0.8</v>
      </c>
      <c r="F71" s="3">
        <v>0.01</v>
      </c>
      <c r="G71" s="4">
        <v>0.2</v>
      </c>
    </row>
    <row r="72" spans="1:7" x14ac:dyDescent="0.25">
      <c r="A72">
        <v>70</v>
      </c>
      <c r="B72" s="24" t="str">
        <f>IF('Scenario 70'!$C$94="","Not Complete","Complete")</f>
        <v>Not Complete</v>
      </c>
      <c r="C72" t="s">
        <v>230</v>
      </c>
      <c r="D72" t="s">
        <v>7</v>
      </c>
      <c r="E72">
        <v>1.2</v>
      </c>
      <c r="F72" s="3">
        <v>1E-3</v>
      </c>
      <c r="G72" s="4">
        <v>0.2</v>
      </c>
    </row>
    <row r="73" spans="1:7" x14ac:dyDescent="0.25">
      <c r="A73">
        <v>71</v>
      </c>
      <c r="B73" s="24" t="str">
        <f>IF('Scenario 71'!$C$94="","Not Complete","Complete")</f>
        <v>Not Complete</v>
      </c>
      <c r="C73" t="s">
        <v>230</v>
      </c>
      <c r="D73" t="s">
        <v>7</v>
      </c>
      <c r="E73">
        <v>1.2</v>
      </c>
      <c r="F73" s="3">
        <v>0.01</v>
      </c>
      <c r="G73" s="4">
        <v>0.2</v>
      </c>
    </row>
    <row r="74" spans="1:7" x14ac:dyDescent="0.25">
      <c r="A74">
        <v>72</v>
      </c>
      <c r="B74" s="24" t="str">
        <f>IF('Scenario 72'!$C$94="","Not Complete","Complete")</f>
        <v>Not Complete</v>
      </c>
      <c r="C74" t="s">
        <v>230</v>
      </c>
      <c r="D74" t="s">
        <v>7</v>
      </c>
      <c r="E74">
        <v>2</v>
      </c>
      <c r="F74" s="3">
        <v>1E-3</v>
      </c>
      <c r="G74" s="4">
        <v>0.2</v>
      </c>
    </row>
    <row r="75" spans="1:7" x14ac:dyDescent="0.25">
      <c r="A75">
        <v>73</v>
      </c>
      <c r="B75" s="24" t="str">
        <f>IF('Scenario 73'!$C$94="","Not Complete","Complete")</f>
        <v>Not Complete</v>
      </c>
      <c r="C75" t="s">
        <v>230</v>
      </c>
      <c r="D75" t="s">
        <v>7</v>
      </c>
      <c r="E75">
        <v>2</v>
      </c>
      <c r="F75" s="3">
        <v>0.01</v>
      </c>
      <c r="G75" s="4">
        <v>0.2</v>
      </c>
    </row>
    <row r="76" spans="1:7" hidden="1" x14ac:dyDescent="0.25">
      <c r="A76">
        <v>74</v>
      </c>
      <c r="B76" s="24" t="str">
        <f>IF('Scenario 74'!$C$94="","Not Complete","Complete")</f>
        <v>Not Complete</v>
      </c>
      <c r="C76" t="s">
        <v>6</v>
      </c>
      <c r="D76" t="s">
        <v>9</v>
      </c>
      <c r="E76">
        <v>0.8</v>
      </c>
      <c r="F76" s="3">
        <v>1E-3</v>
      </c>
      <c r="G76" s="4">
        <v>0.5</v>
      </c>
    </row>
    <row r="77" spans="1:7" hidden="1" x14ac:dyDescent="0.25">
      <c r="A77">
        <v>75</v>
      </c>
      <c r="B77" s="24" t="str">
        <f>IF('Scenario 75'!$C$94="","Not Complete","Complete")</f>
        <v>Not Complete</v>
      </c>
      <c r="C77" t="s">
        <v>6</v>
      </c>
      <c r="D77" t="s">
        <v>9</v>
      </c>
      <c r="E77">
        <v>0.8</v>
      </c>
      <c r="F77" s="3">
        <v>0.01</v>
      </c>
      <c r="G77" s="4">
        <v>0.5</v>
      </c>
    </row>
    <row r="78" spans="1:7" hidden="1" x14ac:dyDescent="0.25">
      <c r="A78">
        <v>76</v>
      </c>
      <c r="B78" s="24" t="str">
        <f>IF('Scenario 76'!$C$94="","Not Complete","Complete")</f>
        <v>Not Complete</v>
      </c>
      <c r="C78" t="s">
        <v>6</v>
      </c>
      <c r="D78" t="s">
        <v>9</v>
      </c>
      <c r="E78">
        <v>1.2</v>
      </c>
      <c r="F78" s="3">
        <v>1E-3</v>
      </c>
      <c r="G78" s="4">
        <v>0.5</v>
      </c>
    </row>
    <row r="79" spans="1:7" hidden="1" x14ac:dyDescent="0.25">
      <c r="A79">
        <v>77</v>
      </c>
      <c r="B79" s="24" t="str">
        <f>IF('Scenario 77'!$C$94="","Not Complete","Complete")</f>
        <v>Not Complete</v>
      </c>
      <c r="C79" t="s">
        <v>6</v>
      </c>
      <c r="D79" t="s">
        <v>9</v>
      </c>
      <c r="E79">
        <v>1.2</v>
      </c>
      <c r="F79" s="3">
        <v>0.01</v>
      </c>
      <c r="G79" s="4">
        <v>0.5</v>
      </c>
    </row>
    <row r="80" spans="1:7" hidden="1" x14ac:dyDescent="0.25">
      <c r="A80">
        <v>78</v>
      </c>
      <c r="B80" s="24" t="str">
        <f>IF('Scenario 78'!$C$94="","Not Complete","Complete")</f>
        <v>Not Complete</v>
      </c>
      <c r="C80" t="s">
        <v>6</v>
      </c>
      <c r="D80" t="s">
        <v>9</v>
      </c>
      <c r="E80">
        <v>2</v>
      </c>
      <c r="F80" s="3">
        <v>1E-3</v>
      </c>
      <c r="G80" s="4">
        <v>0.5</v>
      </c>
    </row>
    <row r="81" spans="1:7" hidden="1" x14ac:dyDescent="0.25">
      <c r="A81">
        <v>79</v>
      </c>
      <c r="B81" s="24" t="str">
        <f>IF('Scenario 79'!$C$94="","Not Complete","Complete")</f>
        <v>Not Complete</v>
      </c>
      <c r="C81" t="s">
        <v>6</v>
      </c>
      <c r="D81" t="s">
        <v>9</v>
      </c>
      <c r="E81">
        <v>2</v>
      </c>
      <c r="F81" s="3">
        <v>0.01</v>
      </c>
      <c r="G81" s="4">
        <v>0.5</v>
      </c>
    </row>
    <row r="82" spans="1:7" hidden="1" x14ac:dyDescent="0.25">
      <c r="A82">
        <v>80</v>
      </c>
      <c r="B82" s="24" t="str">
        <f>IF('Scenario 80'!$C$94="","Not Complete","Complete")</f>
        <v>Not Complete</v>
      </c>
      <c r="C82" t="s">
        <v>6</v>
      </c>
      <c r="D82" t="s">
        <v>8</v>
      </c>
      <c r="E82">
        <v>0.8</v>
      </c>
      <c r="F82" s="3">
        <v>1E-3</v>
      </c>
      <c r="G82" s="4">
        <v>0.5</v>
      </c>
    </row>
    <row r="83" spans="1:7" hidden="1" x14ac:dyDescent="0.25">
      <c r="A83">
        <v>81</v>
      </c>
      <c r="B83" s="24" t="str">
        <f>IF('Scenario 81'!$C$94="","Not Complete","Complete")</f>
        <v>Not Complete</v>
      </c>
      <c r="C83" t="s">
        <v>6</v>
      </c>
      <c r="D83" t="s">
        <v>8</v>
      </c>
      <c r="E83">
        <v>0.8</v>
      </c>
      <c r="F83" s="3">
        <v>0.01</v>
      </c>
      <c r="G83" s="4">
        <v>0.5</v>
      </c>
    </row>
    <row r="84" spans="1:7" hidden="1" x14ac:dyDescent="0.25">
      <c r="A84">
        <v>82</v>
      </c>
      <c r="B84" s="24" t="str">
        <f>IF('Scenario 82'!$C$94="","Not Complete","Complete")</f>
        <v>Not Complete</v>
      </c>
      <c r="C84" t="s">
        <v>6</v>
      </c>
      <c r="D84" t="s">
        <v>8</v>
      </c>
      <c r="E84">
        <v>1.2</v>
      </c>
      <c r="F84" s="3">
        <v>1E-3</v>
      </c>
      <c r="G84" s="4">
        <v>0.5</v>
      </c>
    </row>
    <row r="85" spans="1:7" hidden="1" x14ac:dyDescent="0.25">
      <c r="A85">
        <v>83</v>
      </c>
      <c r="B85" s="24" t="str">
        <f>IF('Scenario 83'!$C$94="","Not Complete","Complete")</f>
        <v>Not Complete</v>
      </c>
      <c r="C85" t="s">
        <v>6</v>
      </c>
      <c r="D85" t="s">
        <v>8</v>
      </c>
      <c r="E85">
        <v>1.2</v>
      </c>
      <c r="F85" s="3">
        <v>0.01</v>
      </c>
      <c r="G85" s="4">
        <v>0.5</v>
      </c>
    </row>
    <row r="86" spans="1:7" hidden="1" x14ac:dyDescent="0.25">
      <c r="A86">
        <v>84</v>
      </c>
      <c r="B86" s="24" t="str">
        <f>IF('Scenario 84'!$C$94="","Not Complete","Complete")</f>
        <v>Not Complete</v>
      </c>
      <c r="C86" t="s">
        <v>6</v>
      </c>
      <c r="D86" t="s">
        <v>8</v>
      </c>
      <c r="E86">
        <v>2</v>
      </c>
      <c r="F86" s="3">
        <v>1E-3</v>
      </c>
      <c r="G86" s="4">
        <v>0.5</v>
      </c>
    </row>
    <row r="87" spans="1:7" hidden="1" x14ac:dyDescent="0.25">
      <c r="A87">
        <v>85</v>
      </c>
      <c r="B87" s="24" t="str">
        <f>IF('Scenario 85'!$C$94="","Not Complete","Complete")</f>
        <v>Not Complete</v>
      </c>
      <c r="C87" t="s">
        <v>6</v>
      </c>
      <c r="D87" t="s">
        <v>8</v>
      </c>
      <c r="E87">
        <v>2</v>
      </c>
      <c r="F87" s="3">
        <v>0.01</v>
      </c>
      <c r="G87" s="4">
        <v>0.5</v>
      </c>
    </row>
    <row r="88" spans="1:7" hidden="1" x14ac:dyDescent="0.25">
      <c r="A88">
        <v>86</v>
      </c>
      <c r="B88" s="24" t="str">
        <f>IF('Scenario 86'!$C$94="","Not Complete","Complete")</f>
        <v>Not Complete</v>
      </c>
      <c r="C88" t="s">
        <v>6</v>
      </c>
      <c r="D88" t="s">
        <v>7</v>
      </c>
      <c r="E88">
        <v>0.8</v>
      </c>
      <c r="F88" s="3">
        <v>1E-3</v>
      </c>
      <c r="G88" s="4">
        <v>0.5</v>
      </c>
    </row>
    <row r="89" spans="1:7" hidden="1" x14ac:dyDescent="0.25">
      <c r="A89">
        <v>87</v>
      </c>
      <c r="B89" s="24" t="str">
        <f>IF('Scenario 87'!$C$94="","Not Complete","Complete")</f>
        <v>Not Complete</v>
      </c>
      <c r="C89" t="s">
        <v>6</v>
      </c>
      <c r="D89" t="s">
        <v>7</v>
      </c>
      <c r="E89">
        <v>0.8</v>
      </c>
      <c r="F89" s="3">
        <v>0.01</v>
      </c>
      <c r="G89" s="4">
        <v>0.5</v>
      </c>
    </row>
    <row r="90" spans="1:7" hidden="1" x14ac:dyDescent="0.25">
      <c r="A90">
        <v>88</v>
      </c>
      <c r="B90" s="24" t="str">
        <f>IF('Scenario 88'!$C$94="","Not Complete","Complete")</f>
        <v>Not Complete</v>
      </c>
      <c r="C90" t="s">
        <v>6</v>
      </c>
      <c r="D90" t="s">
        <v>7</v>
      </c>
      <c r="E90">
        <v>1.2</v>
      </c>
      <c r="F90" s="3">
        <v>1E-3</v>
      </c>
      <c r="G90" s="4">
        <v>0.5</v>
      </c>
    </row>
    <row r="91" spans="1:7" hidden="1" x14ac:dyDescent="0.25">
      <c r="A91">
        <v>89</v>
      </c>
      <c r="B91" s="24" t="str">
        <f>IF('Scenario 89'!$C$94="","Not Complete","Complete")</f>
        <v>Not Complete</v>
      </c>
      <c r="C91" t="s">
        <v>6</v>
      </c>
      <c r="D91" t="s">
        <v>7</v>
      </c>
      <c r="E91">
        <v>1.2</v>
      </c>
      <c r="F91" s="3">
        <v>0.01</v>
      </c>
      <c r="G91" s="4">
        <v>0.5</v>
      </c>
    </row>
    <row r="92" spans="1:7" hidden="1" x14ac:dyDescent="0.25">
      <c r="A92">
        <v>90</v>
      </c>
      <c r="B92" s="24" t="str">
        <f>IF('Scenario 90'!$C$94="","Not Complete","Complete")</f>
        <v>Not Complete</v>
      </c>
      <c r="C92" t="s">
        <v>6</v>
      </c>
      <c r="D92" t="s">
        <v>7</v>
      </c>
      <c r="E92">
        <v>2</v>
      </c>
      <c r="F92" s="3">
        <v>1E-3</v>
      </c>
      <c r="G92" s="4">
        <v>0.5</v>
      </c>
    </row>
    <row r="93" spans="1:7" hidden="1" x14ac:dyDescent="0.25">
      <c r="A93">
        <v>91</v>
      </c>
      <c r="B93" s="24" t="str">
        <f>IF('Scenario 91'!$C$94="","Not Complete","Complete")</f>
        <v>Not Complete</v>
      </c>
      <c r="C93" t="s">
        <v>12</v>
      </c>
      <c r="D93" t="s">
        <v>9</v>
      </c>
      <c r="E93">
        <v>0.8</v>
      </c>
      <c r="F93" s="3">
        <v>1E-3</v>
      </c>
      <c r="G93" s="4">
        <v>0.5</v>
      </c>
    </row>
    <row r="94" spans="1:7" hidden="1" x14ac:dyDescent="0.25">
      <c r="A94">
        <v>92</v>
      </c>
      <c r="B94" s="24" t="str">
        <f>IF('Scenario 92'!$C$94="","Not Complete","Complete")</f>
        <v>Not Complete</v>
      </c>
      <c r="C94" t="s">
        <v>12</v>
      </c>
      <c r="D94" t="s">
        <v>9</v>
      </c>
      <c r="E94">
        <v>0.8</v>
      </c>
      <c r="F94" s="3">
        <v>0.01</v>
      </c>
      <c r="G94" s="4">
        <v>0.5</v>
      </c>
    </row>
    <row r="95" spans="1:7" hidden="1" x14ac:dyDescent="0.25">
      <c r="A95">
        <v>93</v>
      </c>
      <c r="B95" s="24" t="str">
        <f>IF('Scenario 93'!$C$94="","Not Complete","Complete")</f>
        <v>Not Complete</v>
      </c>
      <c r="C95" t="s">
        <v>12</v>
      </c>
      <c r="D95" t="s">
        <v>9</v>
      </c>
      <c r="E95">
        <v>1.2</v>
      </c>
      <c r="F95" s="3">
        <v>1E-3</v>
      </c>
      <c r="G95" s="4">
        <v>0.5</v>
      </c>
    </row>
    <row r="96" spans="1:7" hidden="1" x14ac:dyDescent="0.25">
      <c r="A96">
        <v>94</v>
      </c>
      <c r="B96" s="24" t="str">
        <f>IF('Scenario 94'!$C$94="","Not Complete","Complete")</f>
        <v>Not Complete</v>
      </c>
      <c r="C96" t="s">
        <v>12</v>
      </c>
      <c r="D96" t="s">
        <v>9</v>
      </c>
      <c r="E96">
        <v>1.2</v>
      </c>
      <c r="F96" s="3">
        <v>0.01</v>
      </c>
      <c r="G96" s="4">
        <v>0.5</v>
      </c>
    </row>
    <row r="97" spans="1:7" hidden="1" x14ac:dyDescent="0.25">
      <c r="A97">
        <v>95</v>
      </c>
      <c r="B97" s="24" t="str">
        <f>IF('Scenario 95'!$C$94="","Not Complete","Complete")</f>
        <v>Not Complete</v>
      </c>
      <c r="C97" t="s">
        <v>12</v>
      </c>
      <c r="D97" t="s">
        <v>9</v>
      </c>
      <c r="E97">
        <v>2</v>
      </c>
      <c r="F97" s="3">
        <v>1E-3</v>
      </c>
      <c r="G97" s="4">
        <v>0.5</v>
      </c>
    </row>
    <row r="98" spans="1:7" hidden="1" x14ac:dyDescent="0.25">
      <c r="A98">
        <v>96</v>
      </c>
      <c r="B98" s="24" t="str">
        <f>IF('Scenario 96'!$C$94="","Not Complete","Complete")</f>
        <v>Not Complete</v>
      </c>
      <c r="C98" t="s">
        <v>12</v>
      </c>
      <c r="D98" t="s">
        <v>9</v>
      </c>
      <c r="E98">
        <v>2</v>
      </c>
      <c r="F98" s="3">
        <v>0.01</v>
      </c>
      <c r="G98" s="4">
        <v>0.5</v>
      </c>
    </row>
    <row r="99" spans="1:7" hidden="1" x14ac:dyDescent="0.25">
      <c r="A99">
        <v>97</v>
      </c>
      <c r="B99" s="24" t="str">
        <f>IF('Scenario 97'!$C$94="","Not Complete","Complete")</f>
        <v>Not Complete</v>
      </c>
      <c r="C99" t="s">
        <v>12</v>
      </c>
      <c r="D99" t="s">
        <v>8</v>
      </c>
      <c r="E99">
        <v>0.8</v>
      </c>
      <c r="F99" s="3">
        <v>1E-3</v>
      </c>
      <c r="G99" s="4">
        <v>0.5</v>
      </c>
    </row>
    <row r="100" spans="1:7" hidden="1" x14ac:dyDescent="0.25">
      <c r="A100">
        <v>98</v>
      </c>
      <c r="B100" s="24" t="str">
        <f>IF('Scenario 98'!$C$94="","Not Complete","Complete")</f>
        <v>Not Complete</v>
      </c>
      <c r="C100" t="s">
        <v>12</v>
      </c>
      <c r="D100" t="s">
        <v>8</v>
      </c>
      <c r="E100">
        <v>0.8</v>
      </c>
      <c r="F100" s="3">
        <v>0.01</v>
      </c>
      <c r="G100" s="4">
        <v>0.5</v>
      </c>
    </row>
    <row r="101" spans="1:7" hidden="1" x14ac:dyDescent="0.25">
      <c r="A101">
        <v>99</v>
      </c>
      <c r="B101" s="24" t="str">
        <f>IF('Scenario 99'!$C$94="","Not Complete","Complete")</f>
        <v>Not Complete</v>
      </c>
      <c r="C101" t="s">
        <v>12</v>
      </c>
      <c r="D101" t="s">
        <v>8</v>
      </c>
      <c r="E101">
        <v>1.2</v>
      </c>
      <c r="F101" s="3">
        <v>1E-3</v>
      </c>
      <c r="G101" s="4">
        <v>0.5</v>
      </c>
    </row>
    <row r="102" spans="1:7" hidden="1" x14ac:dyDescent="0.25">
      <c r="A102">
        <v>100</v>
      </c>
      <c r="B102" s="24" t="str">
        <f>IF('Scenario 100'!$C$94="","Not Complete","Complete")</f>
        <v>Not Complete</v>
      </c>
      <c r="C102" t="s">
        <v>12</v>
      </c>
      <c r="D102" t="s">
        <v>8</v>
      </c>
      <c r="E102">
        <v>1.2</v>
      </c>
      <c r="F102" s="3">
        <v>0.01</v>
      </c>
      <c r="G102" s="4">
        <v>0.5</v>
      </c>
    </row>
    <row r="103" spans="1:7" hidden="1" x14ac:dyDescent="0.25">
      <c r="A103">
        <v>101</v>
      </c>
      <c r="B103" s="24" t="str">
        <f>IF('Scenario 101'!$C$94="","Not Complete","Complete")</f>
        <v>Not Complete</v>
      </c>
      <c r="C103" t="s">
        <v>12</v>
      </c>
      <c r="D103" t="s">
        <v>8</v>
      </c>
      <c r="E103">
        <v>2</v>
      </c>
      <c r="F103" s="3">
        <v>1E-3</v>
      </c>
      <c r="G103" s="4">
        <v>0.5</v>
      </c>
    </row>
    <row r="104" spans="1:7" hidden="1" x14ac:dyDescent="0.25">
      <c r="A104">
        <v>102</v>
      </c>
      <c r="B104" s="24" t="str">
        <f>IF('Scenario 102'!$C$94="","Not Complete","Complete")</f>
        <v>Not Complete</v>
      </c>
      <c r="C104" t="s">
        <v>12</v>
      </c>
      <c r="D104" t="s">
        <v>8</v>
      </c>
      <c r="E104">
        <v>2</v>
      </c>
      <c r="F104" s="3">
        <v>0.01</v>
      </c>
      <c r="G104" s="4">
        <v>0.5</v>
      </c>
    </row>
    <row r="105" spans="1:7" hidden="1" x14ac:dyDescent="0.25">
      <c r="A105">
        <v>103</v>
      </c>
      <c r="B105" s="24" t="str">
        <f>IF('Scenario 103'!$C$94="","Not Complete","Complete")</f>
        <v>Not Complete</v>
      </c>
      <c r="C105" t="s">
        <v>12</v>
      </c>
      <c r="D105" t="s">
        <v>7</v>
      </c>
      <c r="E105">
        <v>0.8</v>
      </c>
      <c r="F105" s="3">
        <v>1E-3</v>
      </c>
      <c r="G105" s="4">
        <v>0.5</v>
      </c>
    </row>
    <row r="106" spans="1:7" hidden="1" x14ac:dyDescent="0.25">
      <c r="A106">
        <v>104</v>
      </c>
      <c r="B106" s="24" t="str">
        <f>IF('Scenario 104'!$C$94="","Not Complete","Complete")</f>
        <v>Not Complete</v>
      </c>
      <c r="C106" t="s">
        <v>12</v>
      </c>
      <c r="D106" t="s">
        <v>7</v>
      </c>
      <c r="E106">
        <v>0.8</v>
      </c>
      <c r="F106" s="3">
        <v>0.01</v>
      </c>
      <c r="G106" s="4">
        <v>0.5</v>
      </c>
    </row>
    <row r="107" spans="1:7" hidden="1" x14ac:dyDescent="0.25">
      <c r="A107">
        <v>105</v>
      </c>
      <c r="B107" s="24" t="str">
        <f>IF('Scenario 105'!$C$94="","Not Complete","Complete")</f>
        <v>Not Complete</v>
      </c>
      <c r="C107" t="s">
        <v>12</v>
      </c>
      <c r="D107" t="s">
        <v>7</v>
      </c>
      <c r="E107">
        <v>1.2</v>
      </c>
      <c r="F107" s="3">
        <v>1E-3</v>
      </c>
      <c r="G107" s="4">
        <v>0.5</v>
      </c>
    </row>
    <row r="108" spans="1:7" hidden="1" x14ac:dyDescent="0.25">
      <c r="A108">
        <v>106</v>
      </c>
      <c r="B108" s="24" t="str">
        <f>IF('Scenario 106'!$C$94="","Not Complete","Complete")</f>
        <v>Not Complete</v>
      </c>
      <c r="C108" t="s">
        <v>12</v>
      </c>
      <c r="D108" t="s">
        <v>7</v>
      </c>
      <c r="E108">
        <v>1.2</v>
      </c>
      <c r="F108" s="3">
        <v>0.01</v>
      </c>
      <c r="G108" s="4">
        <v>0.5</v>
      </c>
    </row>
    <row r="109" spans="1:7" hidden="1" x14ac:dyDescent="0.25">
      <c r="A109">
        <v>107</v>
      </c>
      <c r="B109" s="24" t="str">
        <f>IF('Scenario 107'!$C$94="","Not Complete","Complete")</f>
        <v>Not Complete</v>
      </c>
      <c r="C109" t="s">
        <v>12</v>
      </c>
      <c r="D109" t="s">
        <v>7</v>
      </c>
      <c r="E109">
        <v>2</v>
      </c>
      <c r="F109" s="3">
        <v>1E-3</v>
      </c>
      <c r="G109" s="4">
        <v>0.5</v>
      </c>
    </row>
    <row r="110" spans="1:7" hidden="1" x14ac:dyDescent="0.25">
      <c r="A110">
        <v>108</v>
      </c>
      <c r="B110" s="24" t="str">
        <f>IF('Scenario 108'!$C$94="","Not Complete","Complete")</f>
        <v>Not Complete</v>
      </c>
      <c r="C110" t="s">
        <v>12</v>
      </c>
      <c r="D110" t="s">
        <v>7</v>
      </c>
      <c r="E110">
        <v>2</v>
      </c>
      <c r="F110" s="3">
        <v>0.01</v>
      </c>
      <c r="G110" s="4">
        <v>0.5</v>
      </c>
    </row>
    <row r="111" spans="1:7" hidden="1" x14ac:dyDescent="0.25">
      <c r="A111">
        <v>109</v>
      </c>
      <c r="B111" s="24" t="str">
        <f>IF('Scenario 109'!$C$94="","Not Complete","Complete")</f>
        <v>Not Complete</v>
      </c>
      <c r="C111" t="s">
        <v>11</v>
      </c>
      <c r="D111" t="s">
        <v>9</v>
      </c>
      <c r="E111">
        <v>0.8</v>
      </c>
      <c r="F111" s="3">
        <v>1E-3</v>
      </c>
      <c r="G111" s="4">
        <v>0.5</v>
      </c>
    </row>
    <row r="112" spans="1:7" hidden="1" x14ac:dyDescent="0.25">
      <c r="A112">
        <v>110</v>
      </c>
      <c r="B112" s="24" t="str">
        <f>IF('Scenario 110'!$C$94="","Not Complete","Complete")</f>
        <v>Not Complete</v>
      </c>
      <c r="C112" t="s">
        <v>11</v>
      </c>
      <c r="D112" t="s">
        <v>9</v>
      </c>
      <c r="E112">
        <v>0.8</v>
      </c>
      <c r="F112" s="3">
        <v>0.01</v>
      </c>
      <c r="G112" s="4">
        <v>0.5</v>
      </c>
    </row>
    <row r="113" spans="1:7" hidden="1" x14ac:dyDescent="0.25">
      <c r="A113">
        <v>111</v>
      </c>
      <c r="B113" s="24" t="str">
        <f>IF('Scenario 111'!$C$94="","Not Complete","Complete")</f>
        <v>Not Complete</v>
      </c>
      <c r="C113" t="s">
        <v>11</v>
      </c>
      <c r="D113" t="s">
        <v>9</v>
      </c>
      <c r="E113">
        <v>1.2</v>
      </c>
      <c r="F113" s="3">
        <v>1E-3</v>
      </c>
      <c r="G113" s="4">
        <v>0.5</v>
      </c>
    </row>
    <row r="114" spans="1:7" hidden="1" x14ac:dyDescent="0.25">
      <c r="A114">
        <v>112</v>
      </c>
      <c r="B114" s="24" t="str">
        <f>IF('Scenario 112'!$C$94="","Not Complete","Complete")</f>
        <v>Not Complete</v>
      </c>
      <c r="C114" t="s">
        <v>11</v>
      </c>
      <c r="D114" t="s">
        <v>9</v>
      </c>
      <c r="E114">
        <v>1.2</v>
      </c>
      <c r="F114" s="3">
        <v>0.01</v>
      </c>
      <c r="G114" s="4">
        <v>0.5</v>
      </c>
    </row>
    <row r="115" spans="1:7" hidden="1" x14ac:dyDescent="0.25">
      <c r="A115">
        <v>113</v>
      </c>
      <c r="B115" s="24" t="str">
        <f>IF('Scenario 113'!$C$94="","Not Complete","Complete")</f>
        <v>Not Complete</v>
      </c>
      <c r="C115" t="s">
        <v>11</v>
      </c>
      <c r="D115" t="s">
        <v>9</v>
      </c>
      <c r="E115">
        <v>2</v>
      </c>
      <c r="F115" s="3">
        <v>1E-3</v>
      </c>
      <c r="G115" s="4">
        <v>0.5</v>
      </c>
    </row>
    <row r="116" spans="1:7" hidden="1" x14ac:dyDescent="0.25">
      <c r="A116">
        <v>114</v>
      </c>
      <c r="B116" s="24" t="str">
        <f>IF('Scenario 114'!$C$94="","Not Complete","Complete")</f>
        <v>Not Complete</v>
      </c>
      <c r="C116" t="s">
        <v>11</v>
      </c>
      <c r="D116" t="s">
        <v>9</v>
      </c>
      <c r="E116">
        <v>2</v>
      </c>
      <c r="F116" s="3">
        <v>0.01</v>
      </c>
      <c r="G116" s="4">
        <v>0.5</v>
      </c>
    </row>
    <row r="117" spans="1:7" hidden="1" x14ac:dyDescent="0.25">
      <c r="A117">
        <v>115</v>
      </c>
      <c r="B117" s="24" t="str">
        <f>IF('Scenario 115'!$C$94="","Not Complete","Complete")</f>
        <v>Not Complete</v>
      </c>
      <c r="C117" t="s">
        <v>11</v>
      </c>
      <c r="D117" t="s">
        <v>8</v>
      </c>
      <c r="E117">
        <v>0.8</v>
      </c>
      <c r="F117" s="3">
        <v>1E-3</v>
      </c>
      <c r="G117" s="4">
        <v>0.5</v>
      </c>
    </row>
    <row r="118" spans="1:7" hidden="1" x14ac:dyDescent="0.25">
      <c r="A118">
        <v>116</v>
      </c>
      <c r="B118" s="24" t="str">
        <f>IF('Scenario 116'!$C$94="","Not Complete","Complete")</f>
        <v>Not Complete</v>
      </c>
      <c r="C118" t="s">
        <v>11</v>
      </c>
      <c r="D118" t="s">
        <v>8</v>
      </c>
      <c r="E118">
        <v>0.8</v>
      </c>
      <c r="F118" s="3">
        <v>0.01</v>
      </c>
      <c r="G118" s="4">
        <v>0.5</v>
      </c>
    </row>
    <row r="119" spans="1:7" hidden="1" x14ac:dyDescent="0.25">
      <c r="A119">
        <v>117</v>
      </c>
      <c r="B119" s="24" t="str">
        <f>IF('Scenario 117'!$C$94="","Not Complete","Complete")</f>
        <v>Not Complete</v>
      </c>
      <c r="C119" t="s">
        <v>11</v>
      </c>
      <c r="D119" t="s">
        <v>8</v>
      </c>
      <c r="E119">
        <v>1.2</v>
      </c>
      <c r="F119" s="3">
        <v>1E-3</v>
      </c>
      <c r="G119" s="4">
        <v>0.5</v>
      </c>
    </row>
    <row r="120" spans="1:7" hidden="1" x14ac:dyDescent="0.25">
      <c r="A120">
        <v>118</v>
      </c>
      <c r="B120" s="24" t="str">
        <f>IF('Scenario 118'!$C$94="","Not Complete","Complete")</f>
        <v>Not Complete</v>
      </c>
      <c r="C120" t="s">
        <v>11</v>
      </c>
      <c r="D120" t="s">
        <v>8</v>
      </c>
      <c r="E120">
        <v>1.2</v>
      </c>
      <c r="F120" s="3">
        <v>0.01</v>
      </c>
      <c r="G120" s="4">
        <v>0.5</v>
      </c>
    </row>
    <row r="121" spans="1:7" hidden="1" x14ac:dyDescent="0.25">
      <c r="A121">
        <v>119</v>
      </c>
      <c r="B121" s="24" t="str">
        <f>IF('Scenario 119'!$C$94="","Not Complete","Complete")</f>
        <v>Not Complete</v>
      </c>
      <c r="C121" t="s">
        <v>11</v>
      </c>
      <c r="D121" t="s">
        <v>8</v>
      </c>
      <c r="E121">
        <v>2</v>
      </c>
      <c r="F121" s="3">
        <v>1E-3</v>
      </c>
      <c r="G121" s="4">
        <v>0.5</v>
      </c>
    </row>
    <row r="122" spans="1:7" hidden="1" x14ac:dyDescent="0.25">
      <c r="A122">
        <v>120</v>
      </c>
      <c r="B122" s="24" t="str">
        <f>IF('Scenario 120'!$C$94="","Not Complete","Complete")</f>
        <v>Not Complete</v>
      </c>
      <c r="C122" t="s">
        <v>11</v>
      </c>
      <c r="D122" t="s">
        <v>8</v>
      </c>
      <c r="E122">
        <v>2</v>
      </c>
      <c r="F122" s="3">
        <v>0.01</v>
      </c>
      <c r="G122" s="4">
        <v>0.5</v>
      </c>
    </row>
    <row r="123" spans="1:7" hidden="1" x14ac:dyDescent="0.25">
      <c r="A123">
        <v>121</v>
      </c>
      <c r="B123" s="24" t="str">
        <f>IF('Scenario 121'!$C$94="","Not Complete","Complete")</f>
        <v>Not Complete</v>
      </c>
      <c r="C123" t="s">
        <v>11</v>
      </c>
      <c r="D123" t="s">
        <v>7</v>
      </c>
      <c r="E123">
        <v>0.8</v>
      </c>
      <c r="F123" s="3">
        <v>1E-3</v>
      </c>
      <c r="G123" s="4">
        <v>0.5</v>
      </c>
    </row>
    <row r="124" spans="1:7" hidden="1" x14ac:dyDescent="0.25">
      <c r="A124">
        <v>122</v>
      </c>
      <c r="B124" s="24" t="str">
        <f>IF('Scenario 122'!$C$94="","Not Complete","Complete")</f>
        <v>Not Complete</v>
      </c>
      <c r="C124" t="s">
        <v>11</v>
      </c>
      <c r="D124" t="s">
        <v>7</v>
      </c>
      <c r="E124">
        <v>0.8</v>
      </c>
      <c r="F124" s="3">
        <v>0.01</v>
      </c>
      <c r="G124" s="4">
        <v>0.5</v>
      </c>
    </row>
    <row r="125" spans="1:7" hidden="1" x14ac:dyDescent="0.25">
      <c r="A125">
        <v>123</v>
      </c>
      <c r="B125" s="24" t="str">
        <f>IF('Scenario 123'!$C$94="","Not Complete","Complete")</f>
        <v>Not Complete</v>
      </c>
      <c r="C125" t="s">
        <v>11</v>
      </c>
      <c r="D125" t="s">
        <v>7</v>
      </c>
      <c r="E125">
        <v>1.2</v>
      </c>
      <c r="F125" s="3">
        <v>1E-3</v>
      </c>
      <c r="G125" s="4">
        <v>0.5</v>
      </c>
    </row>
    <row r="126" spans="1:7" hidden="1" x14ac:dyDescent="0.25">
      <c r="A126">
        <v>124</v>
      </c>
      <c r="B126" s="24" t="str">
        <f>IF('Scenario 124'!$C$94="","Not Complete","Complete")</f>
        <v>Not Complete</v>
      </c>
      <c r="C126" t="s">
        <v>11</v>
      </c>
      <c r="D126" t="s">
        <v>7</v>
      </c>
      <c r="E126">
        <v>1.2</v>
      </c>
      <c r="F126" s="3">
        <v>0.01</v>
      </c>
      <c r="G126" s="4">
        <v>0.5</v>
      </c>
    </row>
    <row r="127" spans="1:7" hidden="1" x14ac:dyDescent="0.25">
      <c r="A127">
        <v>125</v>
      </c>
      <c r="B127" s="24" t="str">
        <f>IF('Scenario 125'!$C$94="","Not Complete","Complete")</f>
        <v>Not Complete</v>
      </c>
      <c r="C127" t="s">
        <v>11</v>
      </c>
      <c r="D127" t="s">
        <v>7</v>
      </c>
      <c r="E127">
        <v>2</v>
      </c>
      <c r="F127" s="3">
        <v>1E-3</v>
      </c>
      <c r="G127" s="4">
        <v>0.5</v>
      </c>
    </row>
    <row r="128" spans="1:7" hidden="1" x14ac:dyDescent="0.25">
      <c r="A128">
        <v>126</v>
      </c>
      <c r="B128" s="24" t="str">
        <f>IF('Scenario 126'!$C$94="","Not Complete","Complete")</f>
        <v>Not Complete</v>
      </c>
      <c r="C128" t="s">
        <v>11</v>
      </c>
      <c r="D128" t="s">
        <v>7</v>
      </c>
      <c r="E128">
        <v>2</v>
      </c>
      <c r="F128" s="3">
        <v>0.01</v>
      </c>
      <c r="G128" s="4">
        <v>0.5</v>
      </c>
    </row>
    <row r="129" spans="1:7" hidden="1" x14ac:dyDescent="0.25">
      <c r="A129">
        <v>127</v>
      </c>
      <c r="B129" s="24" t="str">
        <f>IF('Scenario 127'!$C$94="","Not Complete","Complete")</f>
        <v>Not Complete</v>
      </c>
      <c r="C129" t="s">
        <v>230</v>
      </c>
      <c r="D129" t="s">
        <v>9</v>
      </c>
      <c r="E129">
        <v>0.8</v>
      </c>
      <c r="F129" s="3">
        <v>1E-3</v>
      </c>
      <c r="G129" s="4">
        <v>0.5</v>
      </c>
    </row>
    <row r="130" spans="1:7" hidden="1" x14ac:dyDescent="0.25">
      <c r="A130">
        <v>128</v>
      </c>
      <c r="B130" s="24" t="str">
        <f>IF('Scenario 128'!$C$94="","Not Complete","Complete")</f>
        <v>Not Complete</v>
      </c>
      <c r="C130" t="s">
        <v>230</v>
      </c>
      <c r="D130" t="s">
        <v>9</v>
      </c>
      <c r="E130">
        <v>0.8</v>
      </c>
      <c r="F130" s="3">
        <v>0.01</v>
      </c>
      <c r="G130" s="4">
        <v>0.5</v>
      </c>
    </row>
    <row r="131" spans="1:7" hidden="1" x14ac:dyDescent="0.25">
      <c r="A131">
        <v>129</v>
      </c>
      <c r="B131" s="24" t="str">
        <f>IF('Scenario 129'!$C$94="","Not Complete","Complete")</f>
        <v>Not Complete</v>
      </c>
      <c r="C131" t="s">
        <v>230</v>
      </c>
      <c r="D131" t="s">
        <v>9</v>
      </c>
      <c r="E131">
        <v>1.2</v>
      </c>
      <c r="F131" s="3">
        <v>1E-3</v>
      </c>
      <c r="G131" s="4">
        <v>0.5</v>
      </c>
    </row>
    <row r="132" spans="1:7" hidden="1" x14ac:dyDescent="0.25">
      <c r="A132">
        <v>130</v>
      </c>
      <c r="B132" s="24" t="str">
        <f>IF('Scenario 130'!$C$94="","Not Complete","Complete")</f>
        <v>Not Complete</v>
      </c>
      <c r="C132" t="s">
        <v>230</v>
      </c>
      <c r="D132" t="s">
        <v>9</v>
      </c>
      <c r="E132">
        <v>1.2</v>
      </c>
      <c r="F132" s="3">
        <v>0.01</v>
      </c>
      <c r="G132" s="4">
        <v>0.5</v>
      </c>
    </row>
    <row r="133" spans="1:7" hidden="1" x14ac:dyDescent="0.25">
      <c r="A133">
        <v>131</v>
      </c>
      <c r="B133" s="24" t="str">
        <f>IF('Scenario 131'!$C$94="","Not Complete","Complete")</f>
        <v>Not Complete</v>
      </c>
      <c r="C133" t="s">
        <v>230</v>
      </c>
      <c r="D133" t="s">
        <v>9</v>
      </c>
      <c r="E133">
        <v>2</v>
      </c>
      <c r="F133" s="3">
        <v>1E-3</v>
      </c>
      <c r="G133" s="4">
        <v>0.5</v>
      </c>
    </row>
    <row r="134" spans="1:7" hidden="1" x14ac:dyDescent="0.25">
      <c r="A134">
        <v>132</v>
      </c>
      <c r="B134" s="24" t="str">
        <f>IF('Scenario 132'!$C$94="","Not Complete","Complete")</f>
        <v>Not Complete</v>
      </c>
      <c r="C134" t="s">
        <v>230</v>
      </c>
      <c r="D134" t="s">
        <v>9</v>
      </c>
      <c r="E134">
        <v>2</v>
      </c>
      <c r="F134" s="3">
        <v>0.01</v>
      </c>
      <c r="G134" s="4">
        <v>0.5</v>
      </c>
    </row>
    <row r="135" spans="1:7" hidden="1" x14ac:dyDescent="0.25">
      <c r="A135">
        <v>133</v>
      </c>
      <c r="B135" s="24" t="str">
        <f>IF('Scenario 133'!$C$94="","Not Complete","Complete")</f>
        <v>Not Complete</v>
      </c>
      <c r="C135" t="s">
        <v>230</v>
      </c>
      <c r="D135" t="s">
        <v>8</v>
      </c>
      <c r="E135">
        <v>0.8</v>
      </c>
      <c r="F135" s="3">
        <v>1E-3</v>
      </c>
      <c r="G135" s="4">
        <v>0.5</v>
      </c>
    </row>
    <row r="136" spans="1:7" hidden="1" x14ac:dyDescent="0.25">
      <c r="A136">
        <v>134</v>
      </c>
      <c r="B136" s="24" t="str">
        <f>IF('Scenario 134'!$C$94="","Not Complete","Complete")</f>
        <v>Not Complete</v>
      </c>
      <c r="C136" t="s">
        <v>230</v>
      </c>
      <c r="D136" t="s">
        <v>8</v>
      </c>
      <c r="E136">
        <v>0.8</v>
      </c>
      <c r="F136" s="3">
        <v>0.01</v>
      </c>
      <c r="G136" s="4">
        <v>0.5</v>
      </c>
    </row>
    <row r="137" spans="1:7" hidden="1" x14ac:dyDescent="0.25">
      <c r="A137">
        <v>135</v>
      </c>
      <c r="B137" s="24" t="str">
        <f>IF('Scenario 135'!$C$94="","Not Complete","Complete")</f>
        <v>Not Complete</v>
      </c>
      <c r="C137" t="s">
        <v>230</v>
      </c>
      <c r="D137" t="s">
        <v>8</v>
      </c>
      <c r="E137">
        <v>1.2</v>
      </c>
      <c r="F137" s="3">
        <v>1E-3</v>
      </c>
      <c r="G137" s="4">
        <v>0.5</v>
      </c>
    </row>
    <row r="138" spans="1:7" hidden="1" x14ac:dyDescent="0.25">
      <c r="A138">
        <v>136</v>
      </c>
      <c r="B138" s="24" t="str">
        <f>IF('Scenario 136'!$C$94="","Not Complete","Complete")</f>
        <v>Not Complete</v>
      </c>
      <c r="C138" t="s">
        <v>230</v>
      </c>
      <c r="D138" t="s">
        <v>8</v>
      </c>
      <c r="E138">
        <v>1.2</v>
      </c>
      <c r="F138" s="3">
        <v>0.01</v>
      </c>
      <c r="G138" s="4">
        <v>0.5</v>
      </c>
    </row>
    <row r="139" spans="1:7" hidden="1" x14ac:dyDescent="0.25">
      <c r="A139">
        <v>137</v>
      </c>
      <c r="B139" s="24" t="str">
        <f>IF('Scenario 137'!$C$94="","Not Complete","Complete")</f>
        <v>Not Complete</v>
      </c>
      <c r="C139" t="s">
        <v>230</v>
      </c>
      <c r="D139" t="s">
        <v>8</v>
      </c>
      <c r="E139">
        <v>2</v>
      </c>
      <c r="F139" s="3">
        <v>1E-3</v>
      </c>
      <c r="G139" s="4">
        <v>0.5</v>
      </c>
    </row>
    <row r="140" spans="1:7" hidden="1" x14ac:dyDescent="0.25">
      <c r="A140">
        <v>138</v>
      </c>
      <c r="B140" s="24" t="str">
        <f>IF('Scenario 138'!$C$94="","Not Complete","Complete")</f>
        <v>Not Complete</v>
      </c>
      <c r="C140" t="s">
        <v>230</v>
      </c>
      <c r="D140" t="s">
        <v>8</v>
      </c>
      <c r="E140">
        <v>2</v>
      </c>
      <c r="F140" s="3">
        <v>0.01</v>
      </c>
      <c r="G140" s="4">
        <v>0.5</v>
      </c>
    </row>
    <row r="141" spans="1:7" hidden="1" x14ac:dyDescent="0.25">
      <c r="A141">
        <v>139</v>
      </c>
      <c r="B141" s="24" t="str">
        <f>IF('Scenario 139'!$C$94="","Not Complete","Complete")</f>
        <v>Not Complete</v>
      </c>
      <c r="C141" t="s">
        <v>230</v>
      </c>
      <c r="D141" t="s">
        <v>7</v>
      </c>
      <c r="E141">
        <v>0.8</v>
      </c>
      <c r="F141" s="3">
        <v>1E-3</v>
      </c>
      <c r="G141" s="4">
        <v>0.5</v>
      </c>
    </row>
    <row r="142" spans="1:7" hidden="1" x14ac:dyDescent="0.25">
      <c r="A142">
        <v>140</v>
      </c>
      <c r="B142" s="24" t="str">
        <f>IF('Scenario 140'!$C$94="","Not Complete","Complete")</f>
        <v>Not Complete</v>
      </c>
      <c r="C142" t="s">
        <v>230</v>
      </c>
      <c r="D142" t="s">
        <v>7</v>
      </c>
      <c r="E142">
        <v>0.8</v>
      </c>
      <c r="F142" s="3">
        <v>0.01</v>
      </c>
      <c r="G142" s="4">
        <v>0.5</v>
      </c>
    </row>
    <row r="143" spans="1:7" hidden="1" x14ac:dyDescent="0.25">
      <c r="A143">
        <v>141</v>
      </c>
      <c r="B143" s="24" t="str">
        <f>IF('Scenario 141'!$C$94="","Not Complete","Complete")</f>
        <v>Not Complete</v>
      </c>
      <c r="C143" t="s">
        <v>230</v>
      </c>
      <c r="D143" t="s">
        <v>7</v>
      </c>
      <c r="E143">
        <v>1.2</v>
      </c>
      <c r="F143" s="3">
        <v>1E-3</v>
      </c>
      <c r="G143" s="4">
        <v>0.5</v>
      </c>
    </row>
    <row r="144" spans="1:7" hidden="1" x14ac:dyDescent="0.25">
      <c r="A144">
        <v>142</v>
      </c>
      <c r="B144" s="24" t="str">
        <f>IF('Scenario 142'!$C$94="","Not Complete","Complete")</f>
        <v>Not Complete</v>
      </c>
      <c r="C144" t="s">
        <v>230</v>
      </c>
      <c r="D144" t="s">
        <v>7</v>
      </c>
      <c r="E144">
        <v>1.2</v>
      </c>
      <c r="F144" s="3">
        <v>0.01</v>
      </c>
      <c r="G144" s="4">
        <v>0.5</v>
      </c>
    </row>
    <row r="145" spans="1:7" hidden="1" x14ac:dyDescent="0.25">
      <c r="A145">
        <v>143</v>
      </c>
      <c r="B145" s="24" t="str">
        <f>IF('Scenario 143'!$C$94="","Not Complete","Complete")</f>
        <v>Not Complete</v>
      </c>
      <c r="C145" t="s">
        <v>230</v>
      </c>
      <c r="D145" t="s">
        <v>7</v>
      </c>
      <c r="E145">
        <v>2</v>
      </c>
      <c r="F145" s="3">
        <v>1E-3</v>
      </c>
      <c r="G145" s="4">
        <v>0.5</v>
      </c>
    </row>
    <row r="146" spans="1:7" hidden="1" x14ac:dyDescent="0.25">
      <c r="A146">
        <v>144</v>
      </c>
      <c r="B146" s="24" t="str">
        <f>IF('Scenario 144'!$C$94="","Not Complete","Complete")</f>
        <v>Not Complete</v>
      </c>
      <c r="C146" t="s">
        <v>230</v>
      </c>
      <c r="D146" t="s">
        <v>7</v>
      </c>
      <c r="E146">
        <v>2</v>
      </c>
      <c r="F146" s="3">
        <v>0.01</v>
      </c>
      <c r="G146" s="4">
        <v>0.5</v>
      </c>
    </row>
    <row r="147" spans="1:7" hidden="1" x14ac:dyDescent="0.25">
      <c r="A147">
        <v>145</v>
      </c>
      <c r="B147" s="24" t="str">
        <f>IF('Scenario 145'!$C$94="","Not Complete","Complete")</f>
        <v>Not Complete</v>
      </c>
      <c r="C147" t="s">
        <v>6</v>
      </c>
      <c r="D147" t="s">
        <v>9</v>
      </c>
      <c r="E147">
        <v>0.8</v>
      </c>
      <c r="F147" s="3">
        <v>1E-3</v>
      </c>
      <c r="G147" s="4">
        <v>0.8</v>
      </c>
    </row>
    <row r="148" spans="1:7" hidden="1" x14ac:dyDescent="0.25">
      <c r="A148">
        <v>146</v>
      </c>
      <c r="B148" s="24" t="str">
        <f>IF('Scenario 146'!$C$94="","Not Complete","Complete")</f>
        <v>Not Complete</v>
      </c>
      <c r="C148" t="s">
        <v>6</v>
      </c>
      <c r="D148" t="s">
        <v>9</v>
      </c>
      <c r="E148">
        <v>0.8</v>
      </c>
      <c r="F148" s="3">
        <v>0.01</v>
      </c>
      <c r="G148" s="4">
        <v>0.8</v>
      </c>
    </row>
    <row r="149" spans="1:7" hidden="1" x14ac:dyDescent="0.25">
      <c r="A149">
        <v>147</v>
      </c>
      <c r="B149" s="24" t="str">
        <f>IF('Scenario 147'!$C$94="","Not Complete","Complete")</f>
        <v>Not Complete</v>
      </c>
      <c r="C149" t="s">
        <v>6</v>
      </c>
      <c r="D149" t="s">
        <v>9</v>
      </c>
      <c r="E149">
        <v>1.2</v>
      </c>
      <c r="F149" s="3">
        <v>1E-3</v>
      </c>
      <c r="G149" s="4">
        <v>0.8</v>
      </c>
    </row>
    <row r="150" spans="1:7" hidden="1" x14ac:dyDescent="0.25">
      <c r="A150">
        <v>148</v>
      </c>
      <c r="B150" s="24" t="str">
        <f>IF('Scenario 148'!$C$94="","Not Complete","Complete")</f>
        <v>Not Complete</v>
      </c>
      <c r="C150" t="s">
        <v>6</v>
      </c>
      <c r="D150" t="s">
        <v>9</v>
      </c>
      <c r="E150">
        <v>2</v>
      </c>
      <c r="F150" s="3">
        <v>1E-3</v>
      </c>
      <c r="G150" s="4">
        <v>0.8</v>
      </c>
    </row>
    <row r="151" spans="1:7" hidden="1" x14ac:dyDescent="0.25">
      <c r="A151">
        <v>149</v>
      </c>
      <c r="B151" s="24" t="str">
        <f>IF('Scenario 149'!$C$94="","Not Complete","Complete")</f>
        <v>Not Complete</v>
      </c>
      <c r="C151" t="s">
        <v>6</v>
      </c>
      <c r="D151" t="s">
        <v>9</v>
      </c>
      <c r="E151">
        <v>2</v>
      </c>
      <c r="F151" s="3">
        <v>0.01</v>
      </c>
      <c r="G151" s="4">
        <v>0.8</v>
      </c>
    </row>
    <row r="152" spans="1:7" hidden="1" x14ac:dyDescent="0.25">
      <c r="A152">
        <v>150</v>
      </c>
      <c r="B152" s="24" t="str">
        <f>IF('Scenario 150'!$C$94="","Not Complete","Complete")</f>
        <v>Not Complete</v>
      </c>
      <c r="C152" t="s">
        <v>6</v>
      </c>
      <c r="D152" t="s">
        <v>9</v>
      </c>
      <c r="E152">
        <v>2</v>
      </c>
      <c r="F152" s="3">
        <v>0.01</v>
      </c>
      <c r="G152" s="4">
        <v>0.8</v>
      </c>
    </row>
    <row r="153" spans="1:7" hidden="1" x14ac:dyDescent="0.25">
      <c r="A153">
        <v>151</v>
      </c>
      <c r="B153" s="24" t="str">
        <f>IF('Scenario 151'!$C$94="","Not Complete","Complete")</f>
        <v>Not Complete</v>
      </c>
      <c r="C153" t="s">
        <v>6</v>
      </c>
      <c r="D153" t="s">
        <v>8</v>
      </c>
      <c r="E153">
        <v>0.8</v>
      </c>
      <c r="F153" s="3">
        <v>1E-3</v>
      </c>
      <c r="G153" s="4">
        <v>0.8</v>
      </c>
    </row>
    <row r="154" spans="1:7" hidden="1" x14ac:dyDescent="0.25">
      <c r="A154">
        <v>152</v>
      </c>
      <c r="B154" s="24" t="str">
        <f>IF('Scenario 152'!$C$94="","Not Complete","Complete")</f>
        <v>Not Complete</v>
      </c>
      <c r="C154" t="s">
        <v>6</v>
      </c>
      <c r="D154" t="s">
        <v>8</v>
      </c>
      <c r="E154">
        <v>0.8</v>
      </c>
      <c r="F154" s="3">
        <v>0.01</v>
      </c>
      <c r="G154" s="4">
        <v>0.8</v>
      </c>
    </row>
    <row r="155" spans="1:7" hidden="1" x14ac:dyDescent="0.25">
      <c r="A155">
        <v>153</v>
      </c>
      <c r="B155" s="24" t="str">
        <f>IF('Scenario 153'!$C$94="","Not Complete","Complete")</f>
        <v>Not Complete</v>
      </c>
      <c r="C155" t="s">
        <v>6</v>
      </c>
      <c r="D155" t="s">
        <v>8</v>
      </c>
      <c r="E155">
        <v>1.2</v>
      </c>
      <c r="F155" s="3">
        <v>1E-3</v>
      </c>
      <c r="G155" s="4">
        <v>0.8</v>
      </c>
    </row>
    <row r="156" spans="1:7" hidden="1" x14ac:dyDescent="0.25">
      <c r="A156">
        <v>154</v>
      </c>
      <c r="B156" s="24" t="str">
        <f>IF('Scenario 154'!$C$94="","Not Complete","Complete")</f>
        <v>Not Complete</v>
      </c>
      <c r="C156" t="s">
        <v>6</v>
      </c>
      <c r="D156" t="s">
        <v>8</v>
      </c>
      <c r="E156">
        <v>2</v>
      </c>
      <c r="F156" s="3">
        <v>1E-3</v>
      </c>
      <c r="G156" s="4">
        <v>0.8</v>
      </c>
    </row>
    <row r="157" spans="1:7" hidden="1" x14ac:dyDescent="0.25">
      <c r="A157">
        <v>155</v>
      </c>
      <c r="B157" s="24" t="str">
        <f>IF('Scenario 155'!$C$94="","Not Complete","Complete")</f>
        <v>Not Complete</v>
      </c>
      <c r="C157" t="s">
        <v>6</v>
      </c>
      <c r="D157" t="s">
        <v>8</v>
      </c>
      <c r="E157">
        <v>2</v>
      </c>
      <c r="F157" s="3">
        <v>0.01</v>
      </c>
      <c r="G157" s="4">
        <v>0.8</v>
      </c>
    </row>
    <row r="158" spans="1:7" hidden="1" x14ac:dyDescent="0.25">
      <c r="A158">
        <v>156</v>
      </c>
      <c r="B158" s="24" t="str">
        <f>IF('Scenario 156'!$C$94="","Not Complete","Complete")</f>
        <v>Not Complete</v>
      </c>
      <c r="C158" t="s">
        <v>6</v>
      </c>
      <c r="D158" t="s">
        <v>8</v>
      </c>
      <c r="E158">
        <v>2</v>
      </c>
      <c r="F158" s="3">
        <v>0.01</v>
      </c>
      <c r="G158" s="4">
        <v>0.8</v>
      </c>
    </row>
    <row r="159" spans="1:7" hidden="1" x14ac:dyDescent="0.25">
      <c r="A159">
        <v>157</v>
      </c>
      <c r="B159" s="24" t="str">
        <f>IF('Scenario 157'!$C$94="","Not Complete","Complete")</f>
        <v>Not Complete</v>
      </c>
      <c r="C159" t="s">
        <v>6</v>
      </c>
      <c r="D159" t="s">
        <v>7</v>
      </c>
      <c r="E159">
        <v>0.8</v>
      </c>
      <c r="F159" s="3">
        <v>1E-3</v>
      </c>
      <c r="G159" s="4">
        <v>0.8</v>
      </c>
    </row>
    <row r="160" spans="1:7" hidden="1" x14ac:dyDescent="0.25">
      <c r="A160">
        <v>158</v>
      </c>
      <c r="B160" s="24" t="str">
        <f>IF('Scenario 158'!$C$94="","Not Complete","Complete")</f>
        <v>Not Complete</v>
      </c>
      <c r="C160" t="s">
        <v>6</v>
      </c>
      <c r="D160" t="s">
        <v>7</v>
      </c>
      <c r="E160">
        <v>0.8</v>
      </c>
      <c r="F160" s="3">
        <v>0.01</v>
      </c>
      <c r="G160" s="4">
        <v>0.8</v>
      </c>
    </row>
    <row r="161" spans="1:7" hidden="1" x14ac:dyDescent="0.25">
      <c r="A161">
        <v>159</v>
      </c>
      <c r="B161" s="24" t="str">
        <f>IF('Scenario 159'!$C$94="","Not Complete","Complete")</f>
        <v>Not Complete</v>
      </c>
      <c r="C161" t="s">
        <v>6</v>
      </c>
      <c r="D161" t="s">
        <v>7</v>
      </c>
      <c r="E161">
        <v>1.2</v>
      </c>
      <c r="F161" s="3">
        <v>1E-3</v>
      </c>
      <c r="G161" s="4">
        <v>0.8</v>
      </c>
    </row>
    <row r="162" spans="1:7" hidden="1" x14ac:dyDescent="0.25">
      <c r="A162">
        <v>160</v>
      </c>
      <c r="B162" s="24" t="str">
        <f>IF('Scenario 160'!$C$94="","Not Complete","Complete")</f>
        <v>Not Complete</v>
      </c>
      <c r="C162" t="s">
        <v>6</v>
      </c>
      <c r="D162" t="s">
        <v>7</v>
      </c>
      <c r="E162">
        <v>2</v>
      </c>
      <c r="F162" s="3">
        <v>1E-3</v>
      </c>
      <c r="G162" s="4">
        <v>0.8</v>
      </c>
    </row>
    <row r="163" spans="1:7" hidden="1" x14ac:dyDescent="0.25">
      <c r="A163">
        <v>161</v>
      </c>
      <c r="B163" s="24" t="str">
        <f>IF('Scenario 161'!$C$94="","Not Complete","Complete")</f>
        <v>Not Complete</v>
      </c>
      <c r="C163" t="s">
        <v>6</v>
      </c>
      <c r="D163" t="s">
        <v>7</v>
      </c>
      <c r="E163">
        <v>2</v>
      </c>
      <c r="F163" s="3">
        <v>0.01</v>
      </c>
      <c r="G163" s="4">
        <v>0.8</v>
      </c>
    </row>
    <row r="164" spans="1:7" hidden="1" x14ac:dyDescent="0.25">
      <c r="A164">
        <v>162</v>
      </c>
      <c r="B164" s="24" t="str">
        <f>IF('Scenario 162'!$C$94="","Not Complete","Complete")</f>
        <v>Not Complete</v>
      </c>
      <c r="C164" t="s">
        <v>6</v>
      </c>
      <c r="D164" t="s">
        <v>7</v>
      </c>
      <c r="E164">
        <v>2</v>
      </c>
      <c r="F164" s="3">
        <v>0.01</v>
      </c>
      <c r="G164" s="4">
        <v>0.8</v>
      </c>
    </row>
    <row r="165" spans="1:7" hidden="1" x14ac:dyDescent="0.25">
      <c r="A165">
        <v>163</v>
      </c>
      <c r="B165" s="24" t="str">
        <f>IF('Scenario 163'!$C$94="","Not Complete","Complete")</f>
        <v>Not Complete</v>
      </c>
      <c r="C165" t="s">
        <v>12</v>
      </c>
      <c r="D165" t="s">
        <v>9</v>
      </c>
      <c r="E165">
        <v>0.8</v>
      </c>
      <c r="F165" s="3">
        <v>1E-3</v>
      </c>
      <c r="G165" s="4">
        <v>0.8</v>
      </c>
    </row>
    <row r="166" spans="1:7" hidden="1" x14ac:dyDescent="0.25">
      <c r="A166">
        <v>164</v>
      </c>
      <c r="B166" s="24" t="str">
        <f>IF('Scenario 164'!$C$94="","Not Complete","Complete")</f>
        <v>Not Complete</v>
      </c>
      <c r="C166" t="s">
        <v>12</v>
      </c>
      <c r="D166" t="s">
        <v>9</v>
      </c>
      <c r="E166">
        <v>0.8</v>
      </c>
      <c r="F166" s="3">
        <v>0.01</v>
      </c>
      <c r="G166" s="4">
        <v>0.8</v>
      </c>
    </row>
    <row r="167" spans="1:7" hidden="1" x14ac:dyDescent="0.25">
      <c r="A167">
        <v>165</v>
      </c>
      <c r="B167" s="24" t="str">
        <f>IF('Scenario 165'!$C$94="","Not Complete","Complete")</f>
        <v>Not Complete</v>
      </c>
      <c r="C167" t="s">
        <v>12</v>
      </c>
      <c r="D167" t="s">
        <v>9</v>
      </c>
      <c r="E167">
        <v>1.2</v>
      </c>
      <c r="F167" s="3">
        <v>1E-3</v>
      </c>
      <c r="G167" s="4">
        <v>0.8</v>
      </c>
    </row>
    <row r="168" spans="1:7" hidden="1" x14ac:dyDescent="0.25">
      <c r="A168">
        <v>166</v>
      </c>
      <c r="B168" s="24" t="str">
        <f>IF('Scenario 166'!$C$94="","Not Complete","Complete")</f>
        <v>Not Complete</v>
      </c>
      <c r="C168" t="s">
        <v>12</v>
      </c>
      <c r="D168" t="s">
        <v>9</v>
      </c>
      <c r="E168">
        <v>2</v>
      </c>
      <c r="F168" s="3">
        <v>1E-3</v>
      </c>
      <c r="G168" s="4">
        <v>0.8</v>
      </c>
    </row>
    <row r="169" spans="1:7" hidden="1" x14ac:dyDescent="0.25">
      <c r="A169">
        <v>167</v>
      </c>
      <c r="B169" s="24" t="str">
        <f>IF('Scenario 167'!$C$94="","Not Complete","Complete")</f>
        <v>Not Complete</v>
      </c>
      <c r="C169" t="s">
        <v>12</v>
      </c>
      <c r="D169" t="s">
        <v>9</v>
      </c>
      <c r="E169">
        <v>2</v>
      </c>
      <c r="F169" s="3">
        <v>0.01</v>
      </c>
      <c r="G169" s="4">
        <v>0.8</v>
      </c>
    </row>
    <row r="170" spans="1:7" hidden="1" x14ac:dyDescent="0.25">
      <c r="A170">
        <v>168</v>
      </c>
      <c r="B170" s="24" t="str">
        <f>IF('Scenario 168'!$C$94="","Not Complete","Complete")</f>
        <v>Not Complete</v>
      </c>
      <c r="C170" t="s">
        <v>12</v>
      </c>
      <c r="D170" t="s">
        <v>9</v>
      </c>
      <c r="E170">
        <v>2</v>
      </c>
      <c r="F170" s="3">
        <v>0.01</v>
      </c>
      <c r="G170" s="4">
        <v>0.8</v>
      </c>
    </row>
    <row r="171" spans="1:7" hidden="1" x14ac:dyDescent="0.25">
      <c r="A171">
        <v>169</v>
      </c>
      <c r="B171" s="24" t="str">
        <f>IF('Scenario 169'!$C$94="","Not Complete","Complete")</f>
        <v>Not Complete</v>
      </c>
      <c r="C171" t="s">
        <v>12</v>
      </c>
      <c r="D171" t="s">
        <v>8</v>
      </c>
      <c r="E171">
        <v>0.8</v>
      </c>
      <c r="F171" s="3">
        <v>1E-3</v>
      </c>
      <c r="G171" s="4">
        <v>0.8</v>
      </c>
    </row>
    <row r="172" spans="1:7" hidden="1" x14ac:dyDescent="0.25">
      <c r="A172">
        <v>170</v>
      </c>
      <c r="B172" s="24" t="str">
        <f>IF('Scenario 170'!$C$94="","Not Complete","Complete")</f>
        <v>Not Complete</v>
      </c>
      <c r="C172" t="s">
        <v>12</v>
      </c>
      <c r="D172" t="s">
        <v>8</v>
      </c>
      <c r="E172">
        <v>0.8</v>
      </c>
      <c r="F172" s="3">
        <v>0.01</v>
      </c>
      <c r="G172" s="4">
        <v>0.8</v>
      </c>
    </row>
    <row r="173" spans="1:7" hidden="1" x14ac:dyDescent="0.25">
      <c r="A173">
        <v>171</v>
      </c>
      <c r="B173" s="24" t="str">
        <f>IF('Scenario 171'!$C$94="","Not Complete","Complete")</f>
        <v>Not Complete</v>
      </c>
      <c r="C173" t="s">
        <v>12</v>
      </c>
      <c r="D173" t="s">
        <v>8</v>
      </c>
      <c r="E173">
        <v>1.2</v>
      </c>
      <c r="F173" s="3">
        <v>1E-3</v>
      </c>
      <c r="G173" s="4">
        <v>0.8</v>
      </c>
    </row>
    <row r="174" spans="1:7" hidden="1" x14ac:dyDescent="0.25">
      <c r="A174">
        <v>172</v>
      </c>
      <c r="B174" s="24" t="str">
        <f>IF('Scenario 172'!$C$94="","Not Complete","Complete")</f>
        <v>Not Complete</v>
      </c>
      <c r="C174" t="s">
        <v>12</v>
      </c>
      <c r="D174" t="s">
        <v>8</v>
      </c>
      <c r="E174">
        <v>2</v>
      </c>
      <c r="F174" s="3">
        <v>1E-3</v>
      </c>
      <c r="G174" s="4">
        <v>0.8</v>
      </c>
    </row>
    <row r="175" spans="1:7" hidden="1" x14ac:dyDescent="0.25">
      <c r="A175">
        <v>173</v>
      </c>
      <c r="B175" s="24" t="str">
        <f>IF('Scenario 173'!$C$94="","Not Complete","Complete")</f>
        <v>Not Complete</v>
      </c>
      <c r="C175" t="s">
        <v>12</v>
      </c>
      <c r="D175" t="s">
        <v>8</v>
      </c>
      <c r="E175">
        <v>2</v>
      </c>
      <c r="F175" s="3">
        <v>0.01</v>
      </c>
      <c r="G175" s="4">
        <v>0.8</v>
      </c>
    </row>
    <row r="176" spans="1:7" hidden="1" x14ac:dyDescent="0.25">
      <c r="A176">
        <v>174</v>
      </c>
      <c r="B176" s="24" t="str">
        <f>IF('Scenario 174'!$C$94="","Not Complete","Complete")</f>
        <v>Not Complete</v>
      </c>
      <c r="C176" t="s">
        <v>12</v>
      </c>
      <c r="D176" t="s">
        <v>8</v>
      </c>
      <c r="E176">
        <v>2</v>
      </c>
      <c r="F176" s="3">
        <v>0.01</v>
      </c>
      <c r="G176" s="4">
        <v>0.8</v>
      </c>
    </row>
    <row r="177" spans="1:7" hidden="1" x14ac:dyDescent="0.25">
      <c r="A177">
        <v>175</v>
      </c>
      <c r="B177" s="24" t="str">
        <f>IF('Scenario 175'!$C$94="","Not Complete","Complete")</f>
        <v>Not Complete</v>
      </c>
      <c r="C177" t="s">
        <v>12</v>
      </c>
      <c r="D177" t="s">
        <v>7</v>
      </c>
      <c r="E177">
        <v>0.8</v>
      </c>
      <c r="F177" s="3">
        <v>1E-3</v>
      </c>
      <c r="G177" s="4">
        <v>0.8</v>
      </c>
    </row>
    <row r="178" spans="1:7" hidden="1" x14ac:dyDescent="0.25">
      <c r="A178">
        <v>176</v>
      </c>
      <c r="B178" s="24" t="str">
        <f>IF('Scenario 176'!$C$94="","Not Complete","Complete")</f>
        <v>Not Complete</v>
      </c>
      <c r="C178" t="s">
        <v>12</v>
      </c>
      <c r="D178" t="s">
        <v>7</v>
      </c>
      <c r="E178">
        <v>0.8</v>
      </c>
      <c r="F178" s="3">
        <v>0.01</v>
      </c>
      <c r="G178" s="4">
        <v>0.8</v>
      </c>
    </row>
    <row r="179" spans="1:7" hidden="1" x14ac:dyDescent="0.25">
      <c r="A179">
        <v>177</v>
      </c>
      <c r="B179" s="24" t="str">
        <f>IF('Scenario 177'!$C$94="","Not Complete","Complete")</f>
        <v>Not Complete</v>
      </c>
      <c r="C179" t="s">
        <v>12</v>
      </c>
      <c r="D179" t="s">
        <v>7</v>
      </c>
      <c r="E179">
        <v>1.2</v>
      </c>
      <c r="F179" s="3">
        <v>1E-3</v>
      </c>
      <c r="G179" s="4">
        <v>0.8</v>
      </c>
    </row>
    <row r="180" spans="1:7" hidden="1" x14ac:dyDescent="0.25">
      <c r="A180">
        <v>178</v>
      </c>
      <c r="B180" s="24" t="str">
        <f>IF('Scenario 178'!$C$94="","Not Complete","Complete")</f>
        <v>Not Complete</v>
      </c>
      <c r="C180" t="s">
        <v>12</v>
      </c>
      <c r="D180" t="s">
        <v>7</v>
      </c>
      <c r="E180">
        <v>2</v>
      </c>
      <c r="F180" s="3">
        <v>1E-3</v>
      </c>
      <c r="G180" s="4">
        <v>0.8</v>
      </c>
    </row>
    <row r="181" spans="1:7" hidden="1" x14ac:dyDescent="0.25">
      <c r="A181">
        <v>179</v>
      </c>
      <c r="B181" s="24" t="str">
        <f>IF('Scenario 179'!$C$94="","Not Complete","Complete")</f>
        <v>Not Complete</v>
      </c>
      <c r="C181" t="s">
        <v>12</v>
      </c>
      <c r="D181" t="s">
        <v>7</v>
      </c>
      <c r="E181">
        <v>2</v>
      </c>
      <c r="F181" s="3">
        <v>0.01</v>
      </c>
      <c r="G181" s="4">
        <v>0.8</v>
      </c>
    </row>
    <row r="182" spans="1:7" hidden="1" x14ac:dyDescent="0.25">
      <c r="A182">
        <v>180</v>
      </c>
      <c r="B182" s="24" t="str">
        <f>IF('Scenario 180'!$C$94="","Not Complete","Complete")</f>
        <v>Not Complete</v>
      </c>
      <c r="C182" t="s">
        <v>12</v>
      </c>
      <c r="D182" t="s">
        <v>7</v>
      </c>
      <c r="E182">
        <v>2</v>
      </c>
      <c r="F182" s="3">
        <v>0.01</v>
      </c>
      <c r="G182" s="4">
        <v>0.8</v>
      </c>
    </row>
    <row r="183" spans="1:7" hidden="1" x14ac:dyDescent="0.25">
      <c r="A183">
        <v>181</v>
      </c>
      <c r="B183" s="24" t="str">
        <f>IF('Scenario 181'!$C$94="","Not Complete","Complete")</f>
        <v>Not Complete</v>
      </c>
      <c r="C183" t="s">
        <v>11</v>
      </c>
      <c r="D183" t="s">
        <v>9</v>
      </c>
      <c r="E183">
        <v>0.8</v>
      </c>
      <c r="F183" s="3">
        <v>1E-3</v>
      </c>
      <c r="G183" s="4">
        <v>0.8</v>
      </c>
    </row>
    <row r="184" spans="1:7" hidden="1" x14ac:dyDescent="0.25">
      <c r="A184">
        <v>182</v>
      </c>
      <c r="B184" s="24" t="str">
        <f>IF('Scenario 182'!$C$94="","Not Complete","Complete")</f>
        <v>Not Complete</v>
      </c>
      <c r="C184" t="s">
        <v>11</v>
      </c>
      <c r="D184" t="s">
        <v>9</v>
      </c>
      <c r="E184">
        <v>0.8</v>
      </c>
      <c r="F184" s="3">
        <v>0.01</v>
      </c>
      <c r="G184" s="4">
        <v>0.8</v>
      </c>
    </row>
    <row r="185" spans="1:7" hidden="1" x14ac:dyDescent="0.25">
      <c r="A185">
        <v>183</v>
      </c>
      <c r="B185" s="24" t="str">
        <f>IF('Scenario 183'!$C$94="","Not Complete","Complete")</f>
        <v>Not Complete</v>
      </c>
      <c r="C185" t="s">
        <v>11</v>
      </c>
      <c r="D185" t="s">
        <v>9</v>
      </c>
      <c r="E185">
        <v>1.2</v>
      </c>
      <c r="F185" s="3">
        <v>1E-3</v>
      </c>
      <c r="G185" s="4">
        <v>0.8</v>
      </c>
    </row>
    <row r="186" spans="1:7" hidden="1" x14ac:dyDescent="0.25">
      <c r="A186">
        <v>184</v>
      </c>
      <c r="B186" s="24" t="str">
        <f>IF('Scenario 184'!$C$94="","Not Complete","Complete")</f>
        <v>Not Complete</v>
      </c>
      <c r="C186" t="s">
        <v>11</v>
      </c>
      <c r="D186" t="s">
        <v>9</v>
      </c>
      <c r="E186">
        <v>2</v>
      </c>
      <c r="F186" s="3">
        <v>1E-3</v>
      </c>
      <c r="G186" s="4">
        <v>0.8</v>
      </c>
    </row>
    <row r="187" spans="1:7" hidden="1" x14ac:dyDescent="0.25">
      <c r="A187">
        <v>185</v>
      </c>
      <c r="B187" s="24" t="str">
        <f>IF('Scenario 185'!$C$94="","Not Complete","Complete")</f>
        <v>Not Complete</v>
      </c>
      <c r="C187" t="s">
        <v>11</v>
      </c>
      <c r="D187" t="s">
        <v>9</v>
      </c>
      <c r="E187">
        <v>2</v>
      </c>
      <c r="F187" s="3">
        <v>0.01</v>
      </c>
      <c r="G187" s="4">
        <v>0.8</v>
      </c>
    </row>
    <row r="188" spans="1:7" hidden="1" x14ac:dyDescent="0.25">
      <c r="A188">
        <v>186</v>
      </c>
      <c r="B188" s="24" t="str">
        <f>IF('Scenario 186'!$C$94="","Not Complete","Complete")</f>
        <v>Not Complete</v>
      </c>
      <c r="C188" t="s">
        <v>11</v>
      </c>
      <c r="D188" t="s">
        <v>9</v>
      </c>
      <c r="E188">
        <v>2</v>
      </c>
      <c r="F188" s="3">
        <v>0.01</v>
      </c>
      <c r="G188" s="4">
        <v>0.8</v>
      </c>
    </row>
    <row r="189" spans="1:7" hidden="1" x14ac:dyDescent="0.25">
      <c r="A189">
        <v>187</v>
      </c>
      <c r="B189" s="24" t="str">
        <f>IF('Scenario 187'!$C$94="","Not Complete","Complete")</f>
        <v>Not Complete</v>
      </c>
      <c r="C189" t="s">
        <v>11</v>
      </c>
      <c r="D189" t="s">
        <v>8</v>
      </c>
      <c r="E189">
        <v>0.8</v>
      </c>
      <c r="F189" s="3">
        <v>1E-3</v>
      </c>
      <c r="G189" s="4">
        <v>0.8</v>
      </c>
    </row>
    <row r="190" spans="1:7" hidden="1" x14ac:dyDescent="0.25">
      <c r="A190">
        <v>188</v>
      </c>
      <c r="B190" s="24" t="str">
        <f>IF('Scenario 188'!$C$94="","Not Complete","Complete")</f>
        <v>Not Complete</v>
      </c>
      <c r="C190" t="s">
        <v>11</v>
      </c>
      <c r="D190" t="s">
        <v>8</v>
      </c>
      <c r="E190">
        <v>0.8</v>
      </c>
      <c r="F190" s="3">
        <v>0.01</v>
      </c>
      <c r="G190" s="4">
        <v>0.8</v>
      </c>
    </row>
    <row r="191" spans="1:7" hidden="1" x14ac:dyDescent="0.25">
      <c r="A191">
        <v>189</v>
      </c>
      <c r="B191" s="24" t="str">
        <f>IF('Scenario 189'!$C$94="","Not Complete","Complete")</f>
        <v>Not Complete</v>
      </c>
      <c r="C191" t="s">
        <v>11</v>
      </c>
      <c r="D191" t="s">
        <v>8</v>
      </c>
      <c r="E191">
        <v>1.2</v>
      </c>
      <c r="F191" s="3">
        <v>1E-3</v>
      </c>
      <c r="G191" s="4">
        <v>0.8</v>
      </c>
    </row>
    <row r="192" spans="1:7" hidden="1" x14ac:dyDescent="0.25">
      <c r="A192">
        <v>190</v>
      </c>
      <c r="B192" s="24" t="str">
        <f>IF('Scenario 190'!$C$94="","Not Complete","Complete")</f>
        <v>Not Complete</v>
      </c>
      <c r="C192" t="s">
        <v>11</v>
      </c>
      <c r="D192" t="s">
        <v>8</v>
      </c>
      <c r="E192">
        <v>2</v>
      </c>
      <c r="F192" s="3">
        <v>1E-3</v>
      </c>
      <c r="G192" s="4">
        <v>0.8</v>
      </c>
    </row>
    <row r="193" spans="1:7" hidden="1" x14ac:dyDescent="0.25">
      <c r="A193">
        <v>191</v>
      </c>
      <c r="B193" s="24" t="str">
        <f>IF('Scenario 191'!$C$94="","Not Complete","Complete")</f>
        <v>Not Complete</v>
      </c>
      <c r="C193" t="s">
        <v>11</v>
      </c>
      <c r="D193" t="s">
        <v>8</v>
      </c>
      <c r="E193">
        <v>2</v>
      </c>
      <c r="F193" s="3">
        <v>0.01</v>
      </c>
      <c r="G193" s="4">
        <v>0.8</v>
      </c>
    </row>
    <row r="194" spans="1:7" hidden="1" x14ac:dyDescent="0.25">
      <c r="A194">
        <v>192</v>
      </c>
      <c r="B194" s="24" t="str">
        <f>IF('Scenario 192'!$C$94="","Not Complete","Complete")</f>
        <v>Not Complete</v>
      </c>
      <c r="C194" t="s">
        <v>11</v>
      </c>
      <c r="D194" t="s">
        <v>8</v>
      </c>
      <c r="E194">
        <v>2</v>
      </c>
      <c r="F194" s="3">
        <v>0.01</v>
      </c>
      <c r="G194" s="4">
        <v>0.8</v>
      </c>
    </row>
    <row r="195" spans="1:7" hidden="1" x14ac:dyDescent="0.25">
      <c r="A195">
        <v>193</v>
      </c>
      <c r="B195" s="24" t="str">
        <f>IF('Scenario 193'!$C$94="","Not Complete","Complete")</f>
        <v>Not Complete</v>
      </c>
      <c r="C195" t="s">
        <v>11</v>
      </c>
      <c r="D195" t="s">
        <v>7</v>
      </c>
      <c r="E195">
        <v>0.8</v>
      </c>
      <c r="F195" s="3">
        <v>1E-3</v>
      </c>
      <c r="G195" s="4">
        <v>0.8</v>
      </c>
    </row>
    <row r="196" spans="1:7" hidden="1" x14ac:dyDescent="0.25">
      <c r="A196">
        <v>194</v>
      </c>
      <c r="B196" s="24" t="str">
        <f>IF('Scenario 194'!$C$94="","Not Complete","Complete")</f>
        <v>Not Complete</v>
      </c>
      <c r="C196" t="s">
        <v>11</v>
      </c>
      <c r="D196" t="s">
        <v>7</v>
      </c>
      <c r="E196">
        <v>0.8</v>
      </c>
      <c r="F196" s="3">
        <v>0.01</v>
      </c>
      <c r="G196" s="4">
        <v>0.8</v>
      </c>
    </row>
    <row r="197" spans="1:7" hidden="1" x14ac:dyDescent="0.25">
      <c r="A197">
        <v>195</v>
      </c>
      <c r="B197" s="24" t="str">
        <f>IF('Scenario 195'!$C$94="","Not Complete","Complete")</f>
        <v>Not Complete</v>
      </c>
      <c r="C197" t="s">
        <v>11</v>
      </c>
      <c r="D197" t="s">
        <v>7</v>
      </c>
      <c r="E197">
        <v>1.2</v>
      </c>
      <c r="F197" s="3">
        <v>1E-3</v>
      </c>
      <c r="G197" s="4">
        <v>0.8</v>
      </c>
    </row>
    <row r="198" spans="1:7" hidden="1" x14ac:dyDescent="0.25">
      <c r="A198">
        <v>196</v>
      </c>
      <c r="B198" s="24" t="str">
        <f>IF('Scenario 196'!$C$94="","Not Complete","Complete")</f>
        <v>Not Complete</v>
      </c>
      <c r="C198" t="s">
        <v>11</v>
      </c>
      <c r="D198" t="s">
        <v>7</v>
      </c>
      <c r="E198">
        <v>2</v>
      </c>
      <c r="F198" s="3">
        <v>1E-3</v>
      </c>
      <c r="G198" s="4">
        <v>0.8</v>
      </c>
    </row>
    <row r="199" spans="1:7" hidden="1" x14ac:dyDescent="0.25">
      <c r="A199">
        <v>197</v>
      </c>
      <c r="B199" s="24" t="str">
        <f>IF('Scenario 197'!$C$94="","Not Complete","Complete")</f>
        <v>Not Complete</v>
      </c>
      <c r="C199" t="s">
        <v>11</v>
      </c>
      <c r="D199" t="s">
        <v>7</v>
      </c>
      <c r="E199">
        <v>2</v>
      </c>
      <c r="F199" s="3">
        <v>0.01</v>
      </c>
      <c r="G199" s="4">
        <v>0.8</v>
      </c>
    </row>
    <row r="200" spans="1:7" hidden="1" x14ac:dyDescent="0.25">
      <c r="A200">
        <v>198</v>
      </c>
      <c r="B200" s="24" t="str">
        <f>IF('Scenario 198'!$C$94="","Not Complete","Complete")</f>
        <v>Not Complete</v>
      </c>
      <c r="C200" t="s">
        <v>11</v>
      </c>
      <c r="D200" t="s">
        <v>7</v>
      </c>
      <c r="E200">
        <v>2</v>
      </c>
      <c r="F200" s="3">
        <v>0.01</v>
      </c>
      <c r="G200" s="4">
        <v>0.8</v>
      </c>
    </row>
    <row r="201" spans="1:7" hidden="1" x14ac:dyDescent="0.25">
      <c r="A201">
        <v>199</v>
      </c>
      <c r="B201" s="24" t="str">
        <f>IF('Scenario 199'!$C$94="","Not Complete","Complete")</f>
        <v>Not Complete</v>
      </c>
      <c r="C201" t="s">
        <v>230</v>
      </c>
      <c r="D201" t="s">
        <v>9</v>
      </c>
      <c r="E201">
        <v>0.8</v>
      </c>
      <c r="F201" s="3">
        <v>1E-3</v>
      </c>
      <c r="G201" s="4">
        <v>0.8</v>
      </c>
    </row>
    <row r="202" spans="1:7" hidden="1" x14ac:dyDescent="0.25">
      <c r="A202">
        <v>200</v>
      </c>
      <c r="B202" s="24" t="str">
        <f>IF('Scenario 200'!$C$94="","Not Complete","Complete")</f>
        <v>Not Complete</v>
      </c>
      <c r="C202" t="s">
        <v>230</v>
      </c>
      <c r="D202" t="s">
        <v>9</v>
      </c>
      <c r="E202">
        <v>0.8</v>
      </c>
      <c r="F202" s="3">
        <v>0.01</v>
      </c>
      <c r="G202" s="4">
        <v>0.8</v>
      </c>
    </row>
    <row r="203" spans="1:7" hidden="1" x14ac:dyDescent="0.25">
      <c r="A203">
        <v>201</v>
      </c>
      <c r="B203" s="24" t="str">
        <f>IF('Scenario 201'!$C$94="","Not Complete","Complete")</f>
        <v>Not Complete</v>
      </c>
      <c r="C203" t="s">
        <v>230</v>
      </c>
      <c r="D203" t="s">
        <v>9</v>
      </c>
      <c r="E203">
        <v>1.2</v>
      </c>
      <c r="F203" s="3">
        <v>1E-3</v>
      </c>
      <c r="G203" s="4">
        <v>0.8</v>
      </c>
    </row>
    <row r="204" spans="1:7" hidden="1" x14ac:dyDescent="0.25">
      <c r="A204">
        <v>202</v>
      </c>
      <c r="B204" s="24" t="str">
        <f>IF('Scenario 202'!$C$94="","Not Complete","Complete")</f>
        <v>Not Complete</v>
      </c>
      <c r="C204" t="s">
        <v>230</v>
      </c>
      <c r="D204" t="s">
        <v>9</v>
      </c>
      <c r="E204">
        <v>2</v>
      </c>
      <c r="F204" s="3">
        <v>1E-3</v>
      </c>
      <c r="G204" s="4">
        <v>0.8</v>
      </c>
    </row>
    <row r="205" spans="1:7" hidden="1" x14ac:dyDescent="0.25">
      <c r="A205">
        <v>203</v>
      </c>
      <c r="B205" s="24" t="str">
        <f>IF('Scenario 203'!$C$94="","Not Complete","Complete")</f>
        <v>Not Complete</v>
      </c>
      <c r="C205" t="s">
        <v>230</v>
      </c>
      <c r="D205" t="s">
        <v>9</v>
      </c>
      <c r="E205">
        <v>2</v>
      </c>
      <c r="F205" s="3">
        <v>0.01</v>
      </c>
      <c r="G205" s="4">
        <v>0.8</v>
      </c>
    </row>
    <row r="206" spans="1:7" hidden="1" x14ac:dyDescent="0.25">
      <c r="A206">
        <v>204</v>
      </c>
      <c r="B206" s="24" t="str">
        <f>IF('Scenario 204'!$C$94="","Not Complete","Complete")</f>
        <v>Not Complete</v>
      </c>
      <c r="C206" t="s">
        <v>230</v>
      </c>
      <c r="D206" t="s">
        <v>9</v>
      </c>
      <c r="E206">
        <v>2</v>
      </c>
      <c r="F206" s="3">
        <v>0.01</v>
      </c>
      <c r="G206" s="4">
        <v>0.8</v>
      </c>
    </row>
    <row r="207" spans="1:7" hidden="1" x14ac:dyDescent="0.25">
      <c r="A207">
        <v>205</v>
      </c>
      <c r="B207" s="24" t="str">
        <f>IF('Scenario 205'!$C$94="","Not Complete","Complete")</f>
        <v>Not Complete</v>
      </c>
      <c r="C207" t="s">
        <v>230</v>
      </c>
      <c r="D207" t="s">
        <v>8</v>
      </c>
      <c r="E207">
        <v>0.8</v>
      </c>
      <c r="F207" s="3">
        <v>1E-3</v>
      </c>
      <c r="G207" s="4">
        <v>0.8</v>
      </c>
    </row>
    <row r="208" spans="1:7" hidden="1" x14ac:dyDescent="0.25">
      <c r="A208">
        <v>206</v>
      </c>
      <c r="B208" s="24" t="str">
        <f>IF('Scenario 206'!$C$94="","Not Complete","Complete")</f>
        <v>Not Complete</v>
      </c>
      <c r="C208" t="s">
        <v>230</v>
      </c>
      <c r="D208" t="s">
        <v>8</v>
      </c>
      <c r="E208">
        <v>0.8</v>
      </c>
      <c r="F208" s="3">
        <v>0.01</v>
      </c>
      <c r="G208" s="4">
        <v>0.8</v>
      </c>
    </row>
    <row r="209" spans="1:7" hidden="1" x14ac:dyDescent="0.25">
      <c r="A209">
        <v>207</v>
      </c>
      <c r="B209" s="24" t="str">
        <f>IF('Scenario 207'!$C$94="","Not Complete","Complete")</f>
        <v>Not Complete</v>
      </c>
      <c r="C209" t="s">
        <v>230</v>
      </c>
      <c r="D209" t="s">
        <v>8</v>
      </c>
      <c r="E209">
        <v>1.2</v>
      </c>
      <c r="F209" s="3">
        <v>1E-3</v>
      </c>
      <c r="G209" s="4">
        <v>0.8</v>
      </c>
    </row>
    <row r="210" spans="1:7" hidden="1" x14ac:dyDescent="0.25">
      <c r="A210">
        <v>208</v>
      </c>
      <c r="B210" s="24" t="str">
        <f>IF('Scenario 208'!$C$94="","Not Complete","Complete")</f>
        <v>Not Complete</v>
      </c>
      <c r="C210" t="s">
        <v>230</v>
      </c>
      <c r="D210" t="s">
        <v>8</v>
      </c>
      <c r="E210">
        <v>2</v>
      </c>
      <c r="F210" s="3">
        <v>1E-3</v>
      </c>
      <c r="G210" s="4">
        <v>0.8</v>
      </c>
    </row>
    <row r="211" spans="1:7" hidden="1" x14ac:dyDescent="0.25">
      <c r="A211">
        <v>209</v>
      </c>
      <c r="B211" s="24" t="str">
        <f>IF('Scenario 209'!$C$94="","Not Complete","Complete")</f>
        <v>Not Complete</v>
      </c>
      <c r="C211" t="s">
        <v>230</v>
      </c>
      <c r="D211" t="s">
        <v>8</v>
      </c>
      <c r="E211">
        <v>2</v>
      </c>
      <c r="F211" s="3">
        <v>0.01</v>
      </c>
      <c r="G211" s="4">
        <v>0.8</v>
      </c>
    </row>
    <row r="212" spans="1:7" hidden="1" x14ac:dyDescent="0.25">
      <c r="A212">
        <v>210</v>
      </c>
      <c r="B212" s="24" t="str">
        <f>IF('Scenario 210'!$C$94="","Not Complete","Complete")</f>
        <v>Not Complete</v>
      </c>
      <c r="C212" t="s">
        <v>230</v>
      </c>
      <c r="D212" t="s">
        <v>8</v>
      </c>
      <c r="E212">
        <v>2</v>
      </c>
      <c r="F212" s="3">
        <v>0.01</v>
      </c>
      <c r="G212" s="4">
        <v>0.8</v>
      </c>
    </row>
    <row r="213" spans="1:7" hidden="1" x14ac:dyDescent="0.25">
      <c r="A213">
        <v>211</v>
      </c>
      <c r="B213" s="24" t="str">
        <f>IF('Scenario 211'!$C$94="","Not Complete","Complete")</f>
        <v>Not Complete</v>
      </c>
      <c r="C213" t="s">
        <v>230</v>
      </c>
      <c r="D213" t="s">
        <v>7</v>
      </c>
      <c r="E213">
        <v>0.8</v>
      </c>
      <c r="F213" s="3">
        <v>1E-3</v>
      </c>
      <c r="G213" s="4">
        <v>0.8</v>
      </c>
    </row>
    <row r="214" spans="1:7" hidden="1" x14ac:dyDescent="0.25">
      <c r="A214">
        <v>212</v>
      </c>
      <c r="B214" s="24" t="str">
        <f>IF('Scenario 212'!$C$94="","Not Complete","Complete")</f>
        <v>Not Complete</v>
      </c>
      <c r="C214" t="s">
        <v>230</v>
      </c>
      <c r="D214" t="s">
        <v>7</v>
      </c>
      <c r="E214">
        <v>0.8</v>
      </c>
      <c r="F214" s="3">
        <v>0.01</v>
      </c>
      <c r="G214" s="4">
        <v>0.8</v>
      </c>
    </row>
    <row r="215" spans="1:7" hidden="1" x14ac:dyDescent="0.25">
      <c r="A215">
        <v>213</v>
      </c>
      <c r="B215" s="24" t="str">
        <f>IF('Scenario 213'!$C$94="","Not Complete","Complete")</f>
        <v>Not Complete</v>
      </c>
      <c r="C215" t="s">
        <v>230</v>
      </c>
      <c r="D215" t="s">
        <v>7</v>
      </c>
      <c r="E215">
        <v>1.2</v>
      </c>
      <c r="F215" s="3">
        <v>1E-3</v>
      </c>
      <c r="G215" s="4">
        <v>0.8</v>
      </c>
    </row>
    <row r="216" spans="1:7" hidden="1" x14ac:dyDescent="0.25">
      <c r="A216">
        <v>214</v>
      </c>
      <c r="B216" s="24" t="str">
        <f>IF('Scenario 214'!$C$94="","Not Complete","Complete")</f>
        <v>Not Complete</v>
      </c>
      <c r="C216" t="s">
        <v>230</v>
      </c>
      <c r="D216" t="s">
        <v>7</v>
      </c>
      <c r="E216">
        <v>2</v>
      </c>
      <c r="F216" s="3">
        <v>1E-3</v>
      </c>
      <c r="G216" s="4">
        <v>0.8</v>
      </c>
    </row>
    <row r="217" spans="1:7" hidden="1" x14ac:dyDescent="0.25">
      <c r="A217">
        <v>215</v>
      </c>
      <c r="B217" s="24" t="str">
        <f>IF('Scenario 215'!$C$94="","Not Complete","Complete")</f>
        <v>Not Complete</v>
      </c>
      <c r="C217" t="s">
        <v>230</v>
      </c>
      <c r="D217" t="s">
        <v>7</v>
      </c>
      <c r="E217">
        <v>2</v>
      </c>
      <c r="F217" s="3">
        <v>0.01</v>
      </c>
      <c r="G217" s="4">
        <v>0.8</v>
      </c>
    </row>
    <row r="218" spans="1:7" hidden="1" x14ac:dyDescent="0.25">
      <c r="A218">
        <v>216</v>
      </c>
      <c r="B218" s="24" t="str">
        <f>IF('Scenario 216'!$C$94="","Not Complete","Complete")</f>
        <v>Not Complete</v>
      </c>
      <c r="C218" t="s">
        <v>230</v>
      </c>
      <c r="D218" t="s">
        <v>7</v>
      </c>
      <c r="E218">
        <v>2</v>
      </c>
      <c r="F218" s="3">
        <v>0.01</v>
      </c>
      <c r="G218" s="4">
        <v>0.8</v>
      </c>
    </row>
  </sheetData>
  <sortState ref="C3:G218">
    <sortCondition ref="G3:G218"/>
    <sortCondition ref="C3:C218"/>
    <sortCondition ref="D3:D218"/>
    <sortCondition ref="E3:E218"/>
    <sortCondition ref="F3:F218"/>
  </sortState>
  <conditionalFormatting sqref="B3:B218">
    <cfRule type="beginsWith" dxfId="1" priority="1" operator="beginsWith" text="Complete">
      <formula>LEFT(B3,LEN("Complete"))="Complete"</formula>
    </cfRule>
    <cfRule type="containsText" dxfId="0" priority="2" operator="containsText" text="Not">
      <formula>NOT(ISERROR(SEARCH("Not",B3)))</formula>
    </cfRule>
    <cfRule type="colorScale" priority="3">
      <colorScale>
        <cfvo type="min"/>
        <cfvo type="max"/>
        <color theme="9"/>
        <color rgb="FFC00000"/>
      </colorScale>
    </cfRule>
    <cfRule type="colorScale" priority="5">
      <colorScale>
        <cfvo type="min"/>
        <cfvo type="max"/>
        <color rgb="FFC00000"/>
        <color theme="9"/>
      </colorScale>
    </cfRule>
  </conditionalFormatting>
  <conditionalFormatting sqref="B3">
    <cfRule type="colorScale" priority="4">
      <colorScale>
        <cfvo type="min"/>
        <cfvo type="percentile" val="50"/>
        <cfvo type="max"/>
        <color rgb="FFF8696B"/>
        <color rgb="FFFFEB84"/>
        <color rgb="FF63BE7B"/>
      </colorScale>
    </cfRule>
  </conditionalFormatting>
  <hyperlinks>
    <hyperlink ref="N5" r:id="rId1"/>
    <hyperlink ref="N6" r:id="rId2"/>
  </hyperlinks>
  <pageMargins left="0.7" right="0.7" top="0.75" bottom="0.75" header="0.3" footer="0.3"/>
  <pageSetup orientation="portrait" r:id="rId3"/>
  <drawing r:id="rId4"/>
  <legacy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94"/>
  <sheetViews>
    <sheetView zoomScale="112" workbookViewId="0">
      <selection activeCell="C1" sqref="C1"/>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 min="7" max="7" width="21.5" bestFit="1" customWidth="1"/>
    <col min="8" max="8" width="24.125" customWidth="1"/>
    <col min="9" max="9" width="16.625" customWidth="1"/>
    <col min="10" max="10" width="25.375" customWidth="1"/>
    <col min="11" max="12" width="15" customWidth="1"/>
    <col min="13" max="13" width="20.875" customWidth="1"/>
    <col min="14" max="14" width="14.875" customWidth="1"/>
    <col min="15" max="15" width="17.375" customWidth="1"/>
    <col min="16" max="16" width="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v>
      </c>
      <c r="B2" s="8" t="str">
        <f>Scenarios!C3</f>
        <v>All teachers</v>
      </c>
      <c r="C2" s="8" t="str">
        <f>Scenarios!D3</f>
        <v>1x/2 weeks</v>
      </c>
      <c r="D2" s="8">
        <f>Scenarios!E3</f>
        <v>0.8</v>
      </c>
      <c r="E2" s="9">
        <f>Scenarios!F3</f>
        <v>1E-3</v>
      </c>
      <c r="F2" s="11">
        <f>Scenarios!G3</f>
        <v>0.2</v>
      </c>
    </row>
    <row r="3" spans="1:16" x14ac:dyDescent="0.25">
      <c r="B3" s="22"/>
      <c r="C3" s="22" t="s">
        <v>231</v>
      </c>
      <c r="D3" s="22"/>
      <c r="E3" s="20"/>
      <c r="F3" s="21" t="s">
        <v>237</v>
      </c>
      <c r="G3" s="20"/>
      <c r="H3" s="18"/>
      <c r="I3" s="19" t="s">
        <v>238</v>
      </c>
      <c r="J3" s="18"/>
      <c r="K3" s="27"/>
      <c r="L3" s="28" t="s">
        <v>235</v>
      </c>
      <c r="M3" s="27"/>
      <c r="N3" s="24"/>
      <c r="O3" s="30"/>
      <c r="P3" s="24"/>
    </row>
    <row r="4" spans="1:16" ht="31.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94"/>
  <sheetViews>
    <sheetView workbookViewId="0">
      <selection activeCell="C94" sqref="C9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v>
      </c>
      <c r="B2" s="8" t="str">
        <f>Scenarios!C4</f>
        <v>All teachers</v>
      </c>
      <c r="C2" s="8" t="str">
        <f>Scenarios!D4</f>
        <v>1x/2 weeks</v>
      </c>
      <c r="D2" s="8">
        <f>Scenarios!E4</f>
        <v>0.8</v>
      </c>
      <c r="E2" s="9">
        <f>Scenarios!F4</f>
        <v>0.01</v>
      </c>
      <c r="F2" s="9">
        <f>Scenarios!G4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v>
      </c>
      <c r="B2" s="8" t="str">
        <f>Scenarios!C5</f>
        <v>All teachers</v>
      </c>
      <c r="C2" s="8" t="str">
        <f>Scenarios!D5</f>
        <v>1x/2 weeks</v>
      </c>
      <c r="D2" s="8">
        <f>Scenarios!E5</f>
        <v>1.2</v>
      </c>
      <c r="E2" s="9">
        <f>Scenarios!F5</f>
        <v>1E-3</v>
      </c>
      <c r="F2" s="9">
        <f>Scenarios!G5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v>
      </c>
      <c r="B2" s="8" t="str">
        <f>Scenarios!C6</f>
        <v>All teachers</v>
      </c>
      <c r="C2" s="8" t="str">
        <f>Scenarios!D6</f>
        <v>1x/2 weeks</v>
      </c>
      <c r="D2" s="8">
        <f>Scenarios!E6</f>
        <v>1.2</v>
      </c>
      <c r="E2" s="9">
        <f>Scenarios!F6</f>
        <v>0.01</v>
      </c>
      <c r="F2" s="9">
        <f>Scenarios!G6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v>
      </c>
      <c r="B2" s="8" t="str">
        <f>Scenarios!C7</f>
        <v>All teachers</v>
      </c>
      <c r="C2" s="8" t="str">
        <f>Scenarios!D7</f>
        <v>1x/2 weeks</v>
      </c>
      <c r="D2" s="8">
        <f>Scenarios!E7</f>
        <v>2</v>
      </c>
      <c r="E2" s="9">
        <f>Scenarios!F7</f>
        <v>1E-3</v>
      </c>
      <c r="F2" s="9">
        <f>Scenarios!G7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v>
      </c>
      <c r="B2" s="8" t="str">
        <f>Scenarios!C8</f>
        <v>All teachers</v>
      </c>
      <c r="C2" s="8" t="str">
        <f>Scenarios!D8</f>
        <v>1x/2 weeks</v>
      </c>
      <c r="D2" s="8">
        <f>Scenarios!E8</f>
        <v>2</v>
      </c>
      <c r="E2" s="9">
        <f>Scenarios!F8</f>
        <v>0.01</v>
      </c>
      <c r="F2" s="9">
        <f>Scenarios!G8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v>
      </c>
      <c r="B2" s="8" t="str">
        <f>Scenarios!C9</f>
        <v>All teachers</v>
      </c>
      <c r="C2" s="8" t="str">
        <f>Scenarios!D9</f>
        <v>1x/week</v>
      </c>
      <c r="D2" s="8">
        <f>Scenarios!E9</f>
        <v>0.8</v>
      </c>
      <c r="E2" s="9">
        <f>Scenarios!F9</f>
        <v>1E-3</v>
      </c>
      <c r="F2" s="9">
        <f>Scenarios!G9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v>
      </c>
      <c r="B2" s="8" t="str">
        <f>Scenarios!C10</f>
        <v>All teachers</v>
      </c>
      <c r="C2" s="8" t="str">
        <f>Scenarios!D10</f>
        <v>1x/week</v>
      </c>
      <c r="D2" s="8">
        <f>Scenarios!E10</f>
        <v>0.8</v>
      </c>
      <c r="E2" s="9">
        <f>Scenarios!F10</f>
        <v>0.01</v>
      </c>
      <c r="F2" s="9">
        <f>Scenarios!G10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v>
      </c>
      <c r="B2" s="8" t="str">
        <f>Scenarios!C11</f>
        <v>All teachers</v>
      </c>
      <c r="C2" s="8" t="str">
        <f>Scenarios!D11</f>
        <v>1x/week</v>
      </c>
      <c r="D2" s="8">
        <f>Scenarios!E11</f>
        <v>1.2</v>
      </c>
      <c r="E2" s="9">
        <f>Scenarios!F11</f>
        <v>1E-3</v>
      </c>
      <c r="F2" s="9">
        <f>Scenarios!G11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23</v>
      </c>
      <c r="B2" s="8" t="str">
        <f>Scenarios!C12</f>
        <v>All teachers</v>
      </c>
      <c r="C2" s="8" t="str">
        <f>Scenarios!D12</f>
        <v>1x/week</v>
      </c>
      <c r="D2" s="8">
        <f>Scenarios!E12</f>
        <v>1.2</v>
      </c>
      <c r="E2" s="9">
        <f>Scenarios!F12</f>
        <v>0.01</v>
      </c>
      <c r="F2" s="9">
        <f>Scenarios!G12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24</v>
      </c>
      <c r="B2" s="8" t="str">
        <f>Scenarios!C13</f>
        <v>All teachers</v>
      </c>
      <c r="C2" s="8" t="str">
        <f>Scenarios!D13</f>
        <v>1x/week</v>
      </c>
      <c r="D2" s="8">
        <f>Scenarios!E13</f>
        <v>2</v>
      </c>
      <c r="E2" s="9">
        <f>Scenarios!F13</f>
        <v>1E-3</v>
      </c>
      <c r="F2" s="9">
        <f>Scenarios!G13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25</v>
      </c>
      <c r="B2" s="8" t="str">
        <f>Scenarios!C14</f>
        <v>All teachers</v>
      </c>
      <c r="C2" s="8" t="str">
        <f>Scenarios!D14</f>
        <v>1x/week</v>
      </c>
      <c r="D2" s="8">
        <f>Scenarios!E14</f>
        <v>2</v>
      </c>
      <c r="E2" s="9">
        <f>Scenarios!F14</f>
        <v>0.01</v>
      </c>
      <c r="F2" s="9">
        <f>Scenarios!G14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26</v>
      </c>
      <c r="B2" s="8" t="str">
        <f>Scenarios!C15</f>
        <v>All teachers</v>
      </c>
      <c r="C2" s="8" t="str">
        <f>Scenarios!D15</f>
        <v>2x/week</v>
      </c>
      <c r="D2" s="8">
        <f>Scenarios!E15</f>
        <v>0.8</v>
      </c>
      <c r="E2" s="9">
        <f>Scenarios!F15</f>
        <v>1E-3</v>
      </c>
      <c r="F2" s="9">
        <f>Scenarios!G15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27</v>
      </c>
      <c r="B2" s="8" t="str">
        <f>Scenarios!C16</f>
        <v>All teachers</v>
      </c>
      <c r="C2" s="8" t="str">
        <f>Scenarios!D16</f>
        <v>2x/week</v>
      </c>
      <c r="D2" s="8">
        <f>Scenarios!E16</f>
        <v>0.8</v>
      </c>
      <c r="E2" s="9">
        <f>Scenarios!F16</f>
        <v>0.01</v>
      </c>
      <c r="F2" s="9">
        <f>Scenarios!G16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28</v>
      </c>
      <c r="B2" s="8" t="str">
        <f>Scenarios!C17</f>
        <v>All teachers</v>
      </c>
      <c r="C2" s="8" t="str">
        <f>Scenarios!D17</f>
        <v>2x/week</v>
      </c>
      <c r="D2" s="8">
        <f>Scenarios!E17</f>
        <v>1.2</v>
      </c>
      <c r="E2" s="9">
        <f>Scenarios!F17</f>
        <v>1E-3</v>
      </c>
      <c r="F2" s="9">
        <f>Scenarios!G17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29</v>
      </c>
      <c r="B2" s="8" t="str">
        <f>Scenarios!C18</f>
        <v>All teachers</v>
      </c>
      <c r="C2" s="8" t="str">
        <f>Scenarios!D18</f>
        <v>2x/week</v>
      </c>
      <c r="D2" s="8">
        <f>Scenarios!E18</f>
        <v>1.2</v>
      </c>
      <c r="E2" s="9">
        <f>Scenarios!F18</f>
        <v>0.01</v>
      </c>
      <c r="F2" s="9">
        <f>Scenarios!G18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30</v>
      </c>
      <c r="B2" s="8" t="str">
        <f>Scenarios!C19</f>
        <v>All teachers</v>
      </c>
      <c r="C2" s="8" t="str">
        <f>Scenarios!D19</f>
        <v>2x/week</v>
      </c>
      <c r="D2" s="8">
        <f>Scenarios!E19</f>
        <v>2</v>
      </c>
      <c r="E2" s="9">
        <f>Scenarios!F19</f>
        <v>1E-3</v>
      </c>
      <c r="F2" s="9">
        <f>Scenarios!G19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31</v>
      </c>
      <c r="B2" s="8" t="str">
        <f>Scenarios!C20</f>
        <v>All teachers</v>
      </c>
      <c r="C2" s="8" t="str">
        <f>Scenarios!D20</f>
        <v>2x/week</v>
      </c>
      <c r="D2" s="8">
        <f>Scenarios!E20</f>
        <v>2</v>
      </c>
      <c r="E2" s="9">
        <f>Scenarios!F20</f>
        <v>0.01</v>
      </c>
      <c r="F2" s="9">
        <f>Scenarios!G20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32</v>
      </c>
      <c r="B2" s="8" t="str">
        <f>Scenarios!C21</f>
        <v>All teachers</v>
      </c>
      <c r="C2" s="8" t="str">
        <f>Scenarios!D21</f>
        <v>2x/week</v>
      </c>
      <c r="D2" s="8">
        <f>Scenarios!E21</f>
        <v>2</v>
      </c>
      <c r="E2" s="9">
        <f>Scenarios!F21</f>
        <v>0.01</v>
      </c>
      <c r="F2" s="9">
        <f>Scenarios!G21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33</v>
      </c>
      <c r="B2" s="8" t="str">
        <f>Scenarios!C22</f>
        <v>All teachers + 13-18 year olds</v>
      </c>
      <c r="C2" s="8" t="str">
        <f>Scenarios!D22</f>
        <v>1x/2 weeks</v>
      </c>
      <c r="D2" s="8">
        <f>Scenarios!E22</f>
        <v>0.8</v>
      </c>
      <c r="E2" s="9">
        <f>Scenarios!F22</f>
        <v>1E-3</v>
      </c>
      <c r="F2" s="9">
        <f>Scenarios!G22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34</v>
      </c>
      <c r="B2" s="8" t="str">
        <f>Scenarios!C23</f>
        <v>All teachers + 13-18 year olds</v>
      </c>
      <c r="C2" s="8" t="str">
        <f>Scenarios!D23</f>
        <v>1x/2 weeks</v>
      </c>
      <c r="D2" s="8">
        <f>Scenarios!E23</f>
        <v>0.8</v>
      </c>
      <c r="E2" s="9">
        <f>Scenarios!F23</f>
        <v>0.01</v>
      </c>
      <c r="F2" s="9">
        <f>Scenarios!G23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35</v>
      </c>
      <c r="B2" s="8" t="str">
        <f>Scenarios!C24</f>
        <v>All teachers + 13-18 year olds</v>
      </c>
      <c r="C2" s="8" t="str">
        <f>Scenarios!D24</f>
        <v>1x/2 weeks</v>
      </c>
      <c r="D2" s="8">
        <f>Scenarios!E24</f>
        <v>1.2</v>
      </c>
      <c r="E2" s="9">
        <f>Scenarios!F24</f>
        <v>1E-3</v>
      </c>
      <c r="F2" s="9">
        <f>Scenarios!G24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36</v>
      </c>
      <c r="B2" s="8" t="str">
        <f>Scenarios!C25</f>
        <v>All teachers + 13-18 year olds</v>
      </c>
      <c r="C2" s="8" t="str">
        <f>Scenarios!D25</f>
        <v>1x/2 weeks</v>
      </c>
      <c r="D2" s="8">
        <f>Scenarios!E25</f>
        <v>1.2</v>
      </c>
      <c r="E2" s="9">
        <f>Scenarios!F25</f>
        <v>0.01</v>
      </c>
      <c r="F2" s="9">
        <f>Scenarios!G25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37</v>
      </c>
      <c r="B2" s="8" t="str">
        <f>Scenarios!C26</f>
        <v>All teachers + 13-18 year olds</v>
      </c>
      <c r="C2" s="8" t="str">
        <f>Scenarios!D26</f>
        <v>1x/2 weeks</v>
      </c>
      <c r="D2" s="8">
        <f>Scenarios!E26</f>
        <v>2</v>
      </c>
      <c r="E2" s="9">
        <f>Scenarios!F26</f>
        <v>1E-3</v>
      </c>
      <c r="F2" s="9">
        <f>Scenarios!G26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38</v>
      </c>
      <c r="B2" s="8" t="str">
        <f>Scenarios!C27</f>
        <v>All teachers + 13-18 year olds</v>
      </c>
      <c r="C2" s="8" t="str">
        <f>Scenarios!D27</f>
        <v>1x/2 weeks</v>
      </c>
      <c r="D2" s="8">
        <f>Scenarios!E27</f>
        <v>2</v>
      </c>
      <c r="E2" s="9">
        <f>Scenarios!F27</f>
        <v>0.01</v>
      </c>
      <c r="F2" s="9">
        <f>Scenarios!G27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39</v>
      </c>
      <c r="B2" s="8" t="str">
        <f>Scenarios!C28</f>
        <v>All teachers + 13-18 year olds</v>
      </c>
      <c r="C2" s="8" t="str">
        <f>Scenarios!D28</f>
        <v>1x/week</v>
      </c>
      <c r="D2" s="8">
        <f>Scenarios!E28</f>
        <v>0.8</v>
      </c>
      <c r="E2" s="9">
        <f>Scenarios!F28</f>
        <v>1E-3</v>
      </c>
      <c r="F2" s="9">
        <f>Scenarios!G28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40</v>
      </c>
      <c r="B2" s="8" t="str">
        <f>Scenarios!C29</f>
        <v>All teachers + 13-18 year olds</v>
      </c>
      <c r="C2" s="8" t="str">
        <f>Scenarios!D29</f>
        <v>1x/week</v>
      </c>
      <c r="D2" s="8">
        <f>Scenarios!E29</f>
        <v>0.8</v>
      </c>
      <c r="E2" s="9">
        <f>Scenarios!F29</f>
        <v>0.01</v>
      </c>
      <c r="F2" s="9">
        <f>Scenarios!G29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41</v>
      </c>
      <c r="B2" s="8" t="str">
        <f>Scenarios!C30</f>
        <v>All teachers + 13-18 year olds</v>
      </c>
      <c r="C2" s="8" t="str">
        <f>Scenarios!D30</f>
        <v>1x/week</v>
      </c>
      <c r="D2" s="8">
        <f>Scenarios!E30</f>
        <v>1.2</v>
      </c>
      <c r="E2" s="9">
        <f>Scenarios!F30</f>
        <v>1E-3</v>
      </c>
      <c r="F2" s="9">
        <f>Scenarios!G30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42</v>
      </c>
      <c r="B2" s="8" t="str">
        <f>Scenarios!C31</f>
        <v>All teachers + 13-18 year olds</v>
      </c>
      <c r="C2" s="8" t="str">
        <f>Scenarios!D31</f>
        <v>1x/week</v>
      </c>
      <c r="D2" s="8">
        <f>Scenarios!E31</f>
        <v>1.2</v>
      </c>
      <c r="E2" s="9">
        <f>Scenarios!F31</f>
        <v>0.01</v>
      </c>
      <c r="F2" s="9">
        <f>Scenarios!G31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43</v>
      </c>
      <c r="B2" s="8" t="str">
        <f>Scenarios!C32</f>
        <v>All teachers + 13-18 year olds</v>
      </c>
      <c r="C2" s="8" t="str">
        <f>Scenarios!D32</f>
        <v>1x/week</v>
      </c>
      <c r="D2" s="8">
        <f>Scenarios!E32</f>
        <v>2</v>
      </c>
      <c r="E2" s="9">
        <f>Scenarios!F32</f>
        <v>1E-3</v>
      </c>
      <c r="F2" s="9">
        <f>Scenarios!G32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44</v>
      </c>
      <c r="B2" s="8" t="str">
        <f>Scenarios!C33</f>
        <v>All teachers + 13-18 year olds</v>
      </c>
      <c r="C2" s="8" t="str">
        <f>Scenarios!D33</f>
        <v>1x/week</v>
      </c>
      <c r="D2" s="8">
        <f>Scenarios!E33</f>
        <v>2</v>
      </c>
      <c r="E2" s="9">
        <f>Scenarios!F33</f>
        <v>0.01</v>
      </c>
      <c r="F2" s="9">
        <f>Scenarios!G33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45</v>
      </c>
      <c r="B2" s="8" t="str">
        <f>Scenarios!C34</f>
        <v>All teachers + 13-18 year olds</v>
      </c>
      <c r="C2" s="8" t="str">
        <f>Scenarios!D34</f>
        <v>2x/week</v>
      </c>
      <c r="D2" s="8">
        <f>Scenarios!E34</f>
        <v>0.8</v>
      </c>
      <c r="E2" s="9">
        <f>Scenarios!F34</f>
        <v>1E-3</v>
      </c>
      <c r="F2" s="9">
        <f>Scenarios!G34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46</v>
      </c>
      <c r="B2" s="8" t="str">
        <f>Scenarios!C35</f>
        <v>All teachers + 13-18 year olds</v>
      </c>
      <c r="C2" s="8" t="str">
        <f>Scenarios!D35</f>
        <v>2x/week</v>
      </c>
      <c r="D2" s="8">
        <f>Scenarios!E35</f>
        <v>0.8</v>
      </c>
      <c r="E2" s="9">
        <f>Scenarios!F35</f>
        <v>0.01</v>
      </c>
      <c r="F2" s="9">
        <f>Scenarios!G35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47</v>
      </c>
      <c r="B2" s="8" t="str">
        <f>Scenarios!C36</f>
        <v>All teachers + 13-18 year olds</v>
      </c>
      <c r="C2" s="8" t="str">
        <f>Scenarios!D36</f>
        <v>2x/week</v>
      </c>
      <c r="D2" s="8">
        <f>Scenarios!E36</f>
        <v>1.2</v>
      </c>
      <c r="E2" s="9">
        <f>Scenarios!F36</f>
        <v>1E-3</v>
      </c>
      <c r="F2" s="9">
        <f>Scenarios!G36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48</v>
      </c>
      <c r="B2" s="8" t="str">
        <f>Scenarios!C37</f>
        <v>All teachers + 13-18 year olds</v>
      </c>
      <c r="C2" s="8" t="str">
        <f>Scenarios!D37</f>
        <v>2x/week</v>
      </c>
      <c r="D2" s="8">
        <f>Scenarios!E37</f>
        <v>1.2</v>
      </c>
      <c r="E2" s="9">
        <f>Scenarios!F37</f>
        <v>0.01</v>
      </c>
      <c r="F2" s="9">
        <f>Scenarios!G37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49</v>
      </c>
      <c r="B2" s="8" t="str">
        <f>Scenarios!C38</f>
        <v>All teachers + 13-18 year olds</v>
      </c>
      <c r="C2" s="8" t="str">
        <f>Scenarios!D38</f>
        <v>2x/week</v>
      </c>
      <c r="D2" s="8">
        <f>Scenarios!E38</f>
        <v>2</v>
      </c>
      <c r="E2" s="9">
        <f>Scenarios!F38</f>
        <v>1E-3</v>
      </c>
      <c r="F2" s="9">
        <f>Scenarios!G38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50</v>
      </c>
      <c r="B2" s="8" t="str">
        <f>Scenarios!C39</f>
        <v>All teachers + 13-18 year olds</v>
      </c>
      <c r="C2" s="8" t="str">
        <f>Scenarios!D39</f>
        <v>2x/week</v>
      </c>
      <c r="D2" s="8">
        <f>Scenarios!E39</f>
        <v>2</v>
      </c>
      <c r="E2" s="9">
        <f>Scenarios!F39</f>
        <v>0.01</v>
      </c>
      <c r="F2" s="9">
        <f>Scenarios!G39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51</v>
      </c>
      <c r="B2" s="8" t="str">
        <f>Scenarios!C40</f>
        <v>All teachers + 5-12 year olds</v>
      </c>
      <c r="C2" s="8" t="str">
        <f>Scenarios!D40</f>
        <v>1x/2 weeks</v>
      </c>
      <c r="D2" s="8">
        <f>Scenarios!E40</f>
        <v>0.8</v>
      </c>
      <c r="E2" s="9">
        <f>Scenarios!F40</f>
        <v>1E-3</v>
      </c>
      <c r="F2" s="9">
        <f>Scenarios!G40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52</v>
      </c>
      <c r="B2" s="8" t="str">
        <f>Scenarios!C41</f>
        <v>All teachers + 5-12 year olds</v>
      </c>
      <c r="C2" s="8" t="str">
        <f>Scenarios!D41</f>
        <v>1x/2 weeks</v>
      </c>
      <c r="D2" s="8">
        <f>Scenarios!E41</f>
        <v>0.8</v>
      </c>
      <c r="E2" s="9">
        <f>Scenarios!F41</f>
        <v>0.01</v>
      </c>
      <c r="F2" s="9">
        <f>Scenarios!G41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53</v>
      </c>
      <c r="B2" s="8" t="str">
        <f>Scenarios!C42</f>
        <v>All teachers + 5-12 year olds</v>
      </c>
      <c r="C2" s="8" t="str">
        <f>Scenarios!D42</f>
        <v>1x/2 weeks</v>
      </c>
      <c r="D2" s="8">
        <f>Scenarios!E42</f>
        <v>1.2</v>
      </c>
      <c r="E2" s="9">
        <f>Scenarios!F42</f>
        <v>1E-3</v>
      </c>
      <c r="F2" s="9">
        <f>Scenarios!G42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54</v>
      </c>
      <c r="B2" s="8" t="str">
        <f>Scenarios!C43</f>
        <v>All teachers + 5-12 year olds</v>
      </c>
      <c r="C2" s="8" t="str">
        <f>Scenarios!D43</f>
        <v>1x/2 weeks</v>
      </c>
      <c r="D2" s="8">
        <f>Scenarios!E43</f>
        <v>1.2</v>
      </c>
      <c r="E2" s="9">
        <f>Scenarios!F43</f>
        <v>0.01</v>
      </c>
      <c r="F2" s="9">
        <f>Scenarios!G43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55</v>
      </c>
      <c r="B2" s="8" t="str">
        <f>Scenarios!C44</f>
        <v>All teachers + 5-12 year olds</v>
      </c>
      <c r="C2" s="8" t="str">
        <f>Scenarios!D44</f>
        <v>1x/2 weeks</v>
      </c>
      <c r="D2" s="8">
        <f>Scenarios!E44</f>
        <v>2</v>
      </c>
      <c r="E2" s="9">
        <f>Scenarios!F44</f>
        <v>1E-3</v>
      </c>
      <c r="F2" s="9">
        <f>Scenarios!G44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56</v>
      </c>
      <c r="B2" s="8" t="str">
        <f>Scenarios!C45</f>
        <v>All teachers + 5-12 year olds</v>
      </c>
      <c r="C2" s="8" t="str">
        <f>Scenarios!D45</f>
        <v>1x/2 weeks</v>
      </c>
      <c r="D2" s="8">
        <f>Scenarios!E45</f>
        <v>2</v>
      </c>
      <c r="E2" s="9">
        <f>Scenarios!F45</f>
        <v>0.01</v>
      </c>
      <c r="F2" s="9">
        <f>Scenarios!G45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57</v>
      </c>
      <c r="B2" s="8" t="str">
        <f>Scenarios!C46</f>
        <v>All teachers + 5-12 year olds</v>
      </c>
      <c r="C2" s="8" t="str">
        <f>Scenarios!D46</f>
        <v>1x/week</v>
      </c>
      <c r="D2" s="8">
        <f>Scenarios!E46</f>
        <v>0.8</v>
      </c>
      <c r="E2" s="9">
        <f>Scenarios!F46</f>
        <v>1E-3</v>
      </c>
      <c r="F2" s="9">
        <f>Scenarios!G46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58</v>
      </c>
      <c r="B2" s="8" t="str">
        <f>Scenarios!C47</f>
        <v>All teachers + 5-12 year olds</v>
      </c>
      <c r="C2" s="8" t="str">
        <f>Scenarios!D47</f>
        <v>1x/week</v>
      </c>
      <c r="D2" s="8">
        <f>Scenarios!E47</f>
        <v>0.8</v>
      </c>
      <c r="E2" s="9">
        <f>Scenarios!F47</f>
        <v>0.01</v>
      </c>
      <c r="F2" s="9">
        <f>Scenarios!G47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59</v>
      </c>
      <c r="B2" s="8" t="str">
        <f>Scenarios!C48</f>
        <v>All teachers + 5-12 year olds</v>
      </c>
      <c r="C2" s="8" t="str">
        <f>Scenarios!D48</f>
        <v>1x/week</v>
      </c>
      <c r="D2" s="8">
        <f>Scenarios!E48</f>
        <v>1.2</v>
      </c>
      <c r="E2" s="9">
        <f>Scenarios!F48</f>
        <v>1E-3</v>
      </c>
      <c r="F2" s="9">
        <f>Scenarios!G48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60</v>
      </c>
      <c r="B2" s="8" t="str">
        <f>Scenarios!C49</f>
        <v>All teachers + 5-12 year olds</v>
      </c>
      <c r="C2" s="8" t="str">
        <f>Scenarios!D49</f>
        <v>1x/week</v>
      </c>
      <c r="D2" s="8">
        <f>Scenarios!E49</f>
        <v>1.2</v>
      </c>
      <c r="E2" s="9">
        <f>Scenarios!F49</f>
        <v>0.01</v>
      </c>
      <c r="F2" s="9">
        <f>Scenarios!G49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61</v>
      </c>
      <c r="B2" s="8" t="str">
        <f>Scenarios!C50</f>
        <v>All teachers + 5-12 year olds</v>
      </c>
      <c r="C2" s="8" t="str">
        <f>Scenarios!D50</f>
        <v>1x/week</v>
      </c>
      <c r="D2" s="8">
        <f>Scenarios!E50</f>
        <v>2</v>
      </c>
      <c r="E2" s="9">
        <f>Scenarios!F50</f>
        <v>1E-3</v>
      </c>
      <c r="F2" s="9">
        <f>Scenarios!G50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62</v>
      </c>
      <c r="B2" s="8" t="str">
        <f>Scenarios!C51</f>
        <v>All teachers + 5-12 year olds</v>
      </c>
      <c r="C2" s="8" t="str">
        <f>Scenarios!D51</f>
        <v>1x/week</v>
      </c>
      <c r="D2" s="8">
        <f>Scenarios!E51</f>
        <v>2</v>
      </c>
      <c r="E2" s="9">
        <f>Scenarios!F51</f>
        <v>0.01</v>
      </c>
      <c r="F2" s="9">
        <f>Scenarios!G51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63</v>
      </c>
      <c r="B2" s="8" t="str">
        <f>Scenarios!C52</f>
        <v>All teachers + 5-12 year olds</v>
      </c>
      <c r="C2" s="8" t="str">
        <f>Scenarios!D52</f>
        <v>2x/week</v>
      </c>
      <c r="D2" s="8">
        <f>Scenarios!E52</f>
        <v>0.8</v>
      </c>
      <c r="E2" s="9">
        <f>Scenarios!F52</f>
        <v>1E-3</v>
      </c>
      <c r="F2" s="9">
        <f>Scenarios!G52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64</v>
      </c>
      <c r="B2" s="8" t="str">
        <f>Scenarios!C53</f>
        <v>All teachers + 5-12 year olds</v>
      </c>
      <c r="C2" s="8" t="str">
        <f>Scenarios!D53</f>
        <v>2x/week</v>
      </c>
      <c r="D2" s="8">
        <f>Scenarios!E53</f>
        <v>0.8</v>
      </c>
      <c r="E2" s="9">
        <f>Scenarios!F53</f>
        <v>0.01</v>
      </c>
      <c r="F2" s="9">
        <f>Scenarios!G53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65</v>
      </c>
      <c r="B2" s="8" t="str">
        <f>Scenarios!C54</f>
        <v>All teachers + 5-12 year olds</v>
      </c>
      <c r="C2" s="8" t="str">
        <f>Scenarios!D54</f>
        <v>2x/week</v>
      </c>
      <c r="D2" s="8">
        <f>Scenarios!E54</f>
        <v>1.2</v>
      </c>
      <c r="E2" s="9">
        <f>Scenarios!F54</f>
        <v>1E-3</v>
      </c>
      <c r="F2" s="9">
        <f>Scenarios!G54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66</v>
      </c>
      <c r="B2" s="8" t="str">
        <f>Scenarios!C55</f>
        <v>All teachers + 5-12 year olds</v>
      </c>
      <c r="C2" s="8" t="str">
        <f>Scenarios!D55</f>
        <v>2x/week</v>
      </c>
      <c r="D2" s="8">
        <f>Scenarios!E55</f>
        <v>1.2</v>
      </c>
      <c r="E2" s="9">
        <f>Scenarios!F55</f>
        <v>0.01</v>
      </c>
      <c r="F2" s="9">
        <f>Scenarios!G55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67</v>
      </c>
      <c r="B2" s="8" t="str">
        <f>Scenarios!C56</f>
        <v>All teachers + 5-12 year olds</v>
      </c>
      <c r="C2" s="8" t="str">
        <f>Scenarios!D56</f>
        <v>2x/week</v>
      </c>
      <c r="D2" s="8">
        <f>Scenarios!E56</f>
        <v>2</v>
      </c>
      <c r="E2" s="9">
        <f>Scenarios!F56</f>
        <v>1E-3</v>
      </c>
      <c r="F2" s="9">
        <f>Scenarios!G56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68</v>
      </c>
      <c r="B2" s="8" t="str">
        <f>Scenarios!C57</f>
        <v>All teachers + 5-12 year olds</v>
      </c>
      <c r="C2" s="8" t="str">
        <f>Scenarios!D57</f>
        <v>2x/week</v>
      </c>
      <c r="D2" s="8">
        <f>Scenarios!E57</f>
        <v>2</v>
      </c>
      <c r="E2" s="9">
        <f>Scenarios!F57</f>
        <v>0.01</v>
      </c>
      <c r="F2" s="9">
        <f>Scenarios!G57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69</v>
      </c>
      <c r="B2" s="8" t="str">
        <f>Scenarios!C58</f>
        <v>All teachers + all students</v>
      </c>
      <c r="C2" s="8" t="str">
        <f>Scenarios!D58</f>
        <v>1x/2 weeks</v>
      </c>
      <c r="D2" s="8">
        <f>Scenarios!E58</f>
        <v>0.8</v>
      </c>
      <c r="E2" s="9">
        <f>Scenarios!F58</f>
        <v>1E-3</v>
      </c>
      <c r="F2" s="9">
        <f>Scenarios!G58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70</v>
      </c>
      <c r="B2" s="8" t="str">
        <f>Scenarios!C59</f>
        <v>All teachers + all students</v>
      </c>
      <c r="C2" s="8" t="str">
        <f>Scenarios!D59</f>
        <v>1x/2 weeks</v>
      </c>
      <c r="D2" s="8">
        <f>Scenarios!E59</f>
        <v>0.8</v>
      </c>
      <c r="E2" s="9">
        <f>Scenarios!F59</f>
        <v>0.01</v>
      </c>
      <c r="F2" s="9">
        <f>Scenarios!G59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71</v>
      </c>
      <c r="B2" s="8" t="str">
        <f>Scenarios!C60</f>
        <v>All teachers + all students</v>
      </c>
      <c r="C2" s="8" t="str">
        <f>Scenarios!D60</f>
        <v>1x/2 weeks</v>
      </c>
      <c r="D2" s="8">
        <f>Scenarios!E60</f>
        <v>1.2</v>
      </c>
      <c r="E2" s="9">
        <f>Scenarios!F60</f>
        <v>1E-3</v>
      </c>
      <c r="F2" s="9">
        <f>Scenarios!G60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72</v>
      </c>
      <c r="B2" s="8" t="str">
        <f>Scenarios!C61</f>
        <v>All teachers + all students</v>
      </c>
      <c r="C2" s="8" t="str">
        <f>Scenarios!D61</f>
        <v>1x/2 weeks</v>
      </c>
      <c r="D2" s="8">
        <f>Scenarios!E61</f>
        <v>1.2</v>
      </c>
      <c r="E2" s="9">
        <f>Scenarios!F61</f>
        <v>0.01</v>
      </c>
      <c r="F2" s="9">
        <f>Scenarios!G61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73</v>
      </c>
      <c r="B2" s="8" t="str">
        <f>Scenarios!C62</f>
        <v>All teachers + all students</v>
      </c>
      <c r="C2" s="8" t="str">
        <f>Scenarios!D62</f>
        <v>1x/2 weeks</v>
      </c>
      <c r="D2" s="8">
        <f>Scenarios!E62</f>
        <v>2</v>
      </c>
      <c r="E2" s="9">
        <f>Scenarios!F62</f>
        <v>1E-3</v>
      </c>
      <c r="F2" s="9">
        <f>Scenarios!G62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74</v>
      </c>
      <c r="B2" s="8" t="str">
        <f>Scenarios!C63</f>
        <v>All teachers + all students</v>
      </c>
      <c r="C2" s="8" t="str">
        <f>Scenarios!D63</f>
        <v>1x/2 weeks</v>
      </c>
      <c r="D2" s="8">
        <f>Scenarios!E63</f>
        <v>2</v>
      </c>
      <c r="E2" s="9">
        <f>Scenarios!F63</f>
        <v>0.01</v>
      </c>
      <c r="F2" s="9">
        <f>Scenarios!G63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75</v>
      </c>
      <c r="B2" s="8" t="str">
        <f>Scenarios!C64</f>
        <v>All teachers + all students</v>
      </c>
      <c r="C2" s="8" t="str">
        <f>Scenarios!D64</f>
        <v>1x/week</v>
      </c>
      <c r="D2" s="8">
        <f>Scenarios!E64</f>
        <v>0.8</v>
      </c>
      <c r="E2" s="9">
        <f>Scenarios!F64</f>
        <v>1E-3</v>
      </c>
      <c r="F2" s="9">
        <f>Scenarios!G64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76</v>
      </c>
      <c r="B2" s="8" t="str">
        <f>Scenarios!C65</f>
        <v>All teachers + all students</v>
      </c>
      <c r="C2" s="8" t="str">
        <f>Scenarios!D65</f>
        <v>1x/week</v>
      </c>
      <c r="D2" s="8">
        <f>Scenarios!E65</f>
        <v>0.8</v>
      </c>
      <c r="E2" s="9">
        <f>Scenarios!F65</f>
        <v>0.01</v>
      </c>
      <c r="F2" s="9">
        <f>Scenarios!G65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77</v>
      </c>
      <c r="B2" s="8" t="str">
        <f>Scenarios!C66</f>
        <v>All teachers + all students</v>
      </c>
      <c r="C2" s="8" t="str">
        <f>Scenarios!D66</f>
        <v>1x/week</v>
      </c>
      <c r="D2" s="8">
        <f>Scenarios!E66</f>
        <v>1.2</v>
      </c>
      <c r="E2" s="9">
        <f>Scenarios!F66</f>
        <v>1E-3</v>
      </c>
      <c r="F2" s="9">
        <f>Scenarios!G66</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78</v>
      </c>
      <c r="B2" s="8" t="str">
        <f>Scenarios!C67</f>
        <v>All teachers + all students</v>
      </c>
      <c r="C2" s="8" t="str">
        <f>Scenarios!D67</f>
        <v>1x/week</v>
      </c>
      <c r="D2" s="8">
        <f>Scenarios!E67</f>
        <v>1.2</v>
      </c>
      <c r="E2" s="9">
        <f>Scenarios!F67</f>
        <v>0.01</v>
      </c>
      <c r="F2" s="9">
        <f>Scenarios!G67</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79</v>
      </c>
      <c r="B2" s="8" t="str">
        <f>Scenarios!C68</f>
        <v>All teachers + all students</v>
      </c>
      <c r="C2" s="8" t="str">
        <f>Scenarios!D68</f>
        <v>1x/week</v>
      </c>
      <c r="D2" s="8">
        <f>Scenarios!E68</f>
        <v>2</v>
      </c>
      <c r="E2" s="9">
        <f>Scenarios!F68</f>
        <v>1E-3</v>
      </c>
      <c r="F2" s="9">
        <f>Scenarios!G68</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80</v>
      </c>
      <c r="B2" s="8" t="str">
        <f>Scenarios!C69</f>
        <v>All teachers + all students</v>
      </c>
      <c r="C2" s="8" t="str">
        <f>Scenarios!D69</f>
        <v>1x/week</v>
      </c>
      <c r="D2" s="8">
        <f>Scenarios!E69</f>
        <v>2</v>
      </c>
      <c r="E2" s="9">
        <f>Scenarios!F69</f>
        <v>0.01</v>
      </c>
      <c r="F2" s="9">
        <f>Scenarios!G69</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81</v>
      </c>
      <c r="B2" s="8" t="str">
        <f>Scenarios!C70</f>
        <v>All teachers + all students</v>
      </c>
      <c r="C2" s="8" t="str">
        <f>Scenarios!D70</f>
        <v>2x/week</v>
      </c>
      <c r="D2" s="8">
        <f>Scenarios!E70</f>
        <v>0.8</v>
      </c>
      <c r="E2" s="9">
        <f>Scenarios!F70</f>
        <v>1E-3</v>
      </c>
      <c r="F2" s="9">
        <f>Scenarios!G70</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82</v>
      </c>
      <c r="B2" s="8" t="str">
        <f>Scenarios!C71</f>
        <v>All teachers + all students</v>
      </c>
      <c r="C2" s="8" t="str">
        <f>Scenarios!D71</f>
        <v>2x/week</v>
      </c>
      <c r="D2" s="8">
        <f>Scenarios!E71</f>
        <v>0.8</v>
      </c>
      <c r="E2" s="9">
        <f>Scenarios!F71</f>
        <v>0.01</v>
      </c>
      <c r="F2" s="9">
        <f>Scenarios!G71</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83</v>
      </c>
      <c r="B2" s="8" t="str">
        <f>Scenarios!C72</f>
        <v>All teachers + all students</v>
      </c>
      <c r="C2" s="8" t="str">
        <f>Scenarios!D72</f>
        <v>2x/week</v>
      </c>
      <c r="D2" s="8">
        <f>Scenarios!E72</f>
        <v>1.2</v>
      </c>
      <c r="E2" s="9">
        <f>Scenarios!F72</f>
        <v>1E-3</v>
      </c>
      <c r="F2" s="9">
        <f>Scenarios!G72</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84</v>
      </c>
      <c r="B2" s="8" t="str">
        <f>Scenarios!C73</f>
        <v>All teachers + all students</v>
      </c>
      <c r="C2" s="8" t="str">
        <f>Scenarios!D73</f>
        <v>2x/week</v>
      </c>
      <c r="D2" s="8">
        <f>Scenarios!E73</f>
        <v>1.2</v>
      </c>
      <c r="E2" s="9">
        <f>Scenarios!F73</f>
        <v>0.01</v>
      </c>
      <c r="F2" s="9">
        <f>Scenarios!G73</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85</v>
      </c>
      <c r="B2" s="8" t="str">
        <f>Scenarios!C74</f>
        <v>All teachers + all students</v>
      </c>
      <c r="C2" s="8" t="str">
        <f>Scenarios!D74</f>
        <v>2x/week</v>
      </c>
      <c r="D2" s="8">
        <f>Scenarios!E74</f>
        <v>2</v>
      </c>
      <c r="E2" s="9">
        <f>Scenarios!F74</f>
        <v>1E-3</v>
      </c>
      <c r="F2" s="9">
        <f>Scenarios!G74</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86</v>
      </c>
      <c r="B2" s="8" t="str">
        <f>Scenarios!C75</f>
        <v>All teachers + all students</v>
      </c>
      <c r="C2" s="8" t="str">
        <f>Scenarios!D75</f>
        <v>2x/week</v>
      </c>
      <c r="D2" s="8">
        <f>Scenarios!E75</f>
        <v>2</v>
      </c>
      <c r="E2" s="9">
        <f>Scenarios!F75</f>
        <v>0.01</v>
      </c>
      <c r="F2" s="9">
        <f>Scenarios!G75</f>
        <v>0.2</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87</v>
      </c>
      <c r="B2" s="8" t="str">
        <f>Scenarios!C76</f>
        <v>All teachers</v>
      </c>
      <c r="C2" s="8" t="str">
        <f>Scenarios!D76</f>
        <v>1x/2 weeks</v>
      </c>
      <c r="D2" s="8">
        <f>Scenarios!E76</f>
        <v>0.8</v>
      </c>
      <c r="E2" s="9">
        <f>Scenarios!F76</f>
        <v>1E-3</v>
      </c>
      <c r="F2" s="9">
        <f>Scenarios!G76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88</v>
      </c>
      <c r="B2" s="8" t="str">
        <f>Scenarios!C77</f>
        <v>All teachers</v>
      </c>
      <c r="C2" s="8" t="str">
        <f>Scenarios!D77</f>
        <v>1x/2 weeks</v>
      </c>
      <c r="D2" s="8">
        <f>Scenarios!E77</f>
        <v>0.8</v>
      </c>
      <c r="E2" s="9">
        <f>Scenarios!F77</f>
        <v>0.01</v>
      </c>
      <c r="F2" s="9">
        <f>Scenarios!G77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89</v>
      </c>
      <c r="B2" s="8" t="str">
        <f>Scenarios!C78</f>
        <v>All teachers</v>
      </c>
      <c r="C2" s="8" t="str">
        <f>Scenarios!D78</f>
        <v>1x/2 weeks</v>
      </c>
      <c r="D2" s="8">
        <f>Scenarios!E78</f>
        <v>1.2</v>
      </c>
      <c r="E2" s="9">
        <f>Scenarios!F78</f>
        <v>1E-3</v>
      </c>
      <c r="F2" s="9">
        <f>Scenarios!G78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90</v>
      </c>
      <c r="B2" s="8" t="str">
        <f>Scenarios!C79</f>
        <v>All teachers</v>
      </c>
      <c r="C2" s="8" t="str">
        <f>Scenarios!D79</f>
        <v>1x/2 weeks</v>
      </c>
      <c r="D2" s="8">
        <f>Scenarios!E79</f>
        <v>1.2</v>
      </c>
      <c r="E2" s="9">
        <f>Scenarios!F79</f>
        <v>0.01</v>
      </c>
      <c r="F2" s="9">
        <f>Scenarios!G79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91</v>
      </c>
      <c r="B2" s="8" t="str">
        <f>Scenarios!C80</f>
        <v>All teachers</v>
      </c>
      <c r="C2" s="8" t="str">
        <f>Scenarios!D80</f>
        <v>1x/2 weeks</v>
      </c>
      <c r="D2" s="8">
        <f>Scenarios!E80</f>
        <v>2</v>
      </c>
      <c r="E2" s="9">
        <f>Scenarios!F80</f>
        <v>1E-3</v>
      </c>
      <c r="F2" s="9">
        <f>Scenarios!G80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92</v>
      </c>
      <c r="B2" s="8" t="str">
        <f>Scenarios!C81</f>
        <v>All teachers</v>
      </c>
      <c r="C2" s="8" t="str">
        <f>Scenarios!D81</f>
        <v>1x/2 weeks</v>
      </c>
      <c r="D2" s="8">
        <f>Scenarios!E81</f>
        <v>2</v>
      </c>
      <c r="E2" s="9">
        <f>Scenarios!F81</f>
        <v>0.01</v>
      </c>
      <c r="F2" s="9">
        <f>Scenarios!G81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93</v>
      </c>
      <c r="B2" s="8" t="str">
        <f>Scenarios!C82</f>
        <v>All teachers</v>
      </c>
      <c r="C2" s="8" t="str">
        <f>Scenarios!D82</f>
        <v>1x/week</v>
      </c>
      <c r="D2" s="8">
        <f>Scenarios!E82</f>
        <v>0.8</v>
      </c>
      <c r="E2" s="9">
        <f>Scenarios!F82</f>
        <v>1E-3</v>
      </c>
      <c r="F2" s="9">
        <f>Scenarios!G82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94</v>
      </c>
      <c r="B2" s="8" t="str">
        <f>Scenarios!C83</f>
        <v>All teachers</v>
      </c>
      <c r="C2" s="8" t="str">
        <f>Scenarios!D83</f>
        <v>1x/week</v>
      </c>
      <c r="D2" s="8">
        <f>Scenarios!E83</f>
        <v>0.8</v>
      </c>
      <c r="E2" s="9">
        <f>Scenarios!F83</f>
        <v>0.01</v>
      </c>
      <c r="F2" s="9">
        <f>Scenarios!G83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95</v>
      </c>
      <c r="B2" s="8" t="str">
        <f>Scenarios!C84</f>
        <v>All teachers</v>
      </c>
      <c r="C2" s="8" t="str">
        <f>Scenarios!D84</f>
        <v>1x/week</v>
      </c>
      <c r="D2" s="8">
        <f>Scenarios!E84</f>
        <v>1.2</v>
      </c>
      <c r="E2" s="9">
        <f>Scenarios!F84</f>
        <v>1E-3</v>
      </c>
      <c r="F2" s="9">
        <f>Scenarios!G84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96</v>
      </c>
      <c r="B2" s="8" t="str">
        <f>Scenarios!C85</f>
        <v>All teachers</v>
      </c>
      <c r="C2" s="8" t="str">
        <f>Scenarios!D85</f>
        <v>1x/week</v>
      </c>
      <c r="D2" s="8">
        <f>Scenarios!E85</f>
        <v>1.2</v>
      </c>
      <c r="E2" s="9">
        <f>Scenarios!F85</f>
        <v>0.01</v>
      </c>
      <c r="F2" s="9">
        <f>Scenarios!G85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97</v>
      </c>
      <c r="B2" s="8" t="str">
        <f>Scenarios!C86</f>
        <v>All teachers</v>
      </c>
      <c r="C2" s="8" t="str">
        <f>Scenarios!D86</f>
        <v>1x/week</v>
      </c>
      <c r="D2" s="8">
        <f>Scenarios!E86</f>
        <v>2</v>
      </c>
      <c r="E2" s="9">
        <f>Scenarios!F86</f>
        <v>1E-3</v>
      </c>
      <c r="F2" s="9">
        <f>Scenarios!G86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98</v>
      </c>
      <c r="B2" s="8" t="str">
        <f>Scenarios!C87</f>
        <v>All teachers</v>
      </c>
      <c r="C2" s="8" t="str">
        <f>Scenarios!D87</f>
        <v>1x/week</v>
      </c>
      <c r="D2" s="8">
        <f>Scenarios!E87</f>
        <v>2</v>
      </c>
      <c r="E2" s="9">
        <f>Scenarios!F87</f>
        <v>0.01</v>
      </c>
      <c r="F2" s="9">
        <f>Scenarios!G87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99</v>
      </c>
      <c r="B2" s="8" t="str">
        <f>Scenarios!C88</f>
        <v>All teachers</v>
      </c>
      <c r="C2" s="8" t="str">
        <f>Scenarios!D88</f>
        <v>2x/week</v>
      </c>
      <c r="D2" s="8">
        <f>Scenarios!E88</f>
        <v>0.8</v>
      </c>
      <c r="E2" s="9">
        <f>Scenarios!F88</f>
        <v>1E-3</v>
      </c>
      <c r="F2" s="9">
        <f>Scenarios!G88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100</v>
      </c>
      <c r="B2" s="8" t="str">
        <f>Scenarios!C89</f>
        <v>All teachers</v>
      </c>
      <c r="C2" s="8" t="str">
        <f>Scenarios!D89</f>
        <v>2x/week</v>
      </c>
      <c r="D2" s="8">
        <f>Scenarios!E89</f>
        <v>0.8</v>
      </c>
      <c r="E2" s="9">
        <f>Scenarios!F89</f>
        <v>0.01</v>
      </c>
      <c r="F2" s="9">
        <f>Scenarios!G89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 min="10" max="10" width="21.5" bestFit="1"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101</v>
      </c>
      <c r="B2" s="8" t="str">
        <f>Scenarios!C90</f>
        <v>All teachers</v>
      </c>
      <c r="C2" s="8" t="str">
        <f>Scenarios!D90</f>
        <v>2x/week</v>
      </c>
      <c r="D2" s="8">
        <f>Scenarios!E90</f>
        <v>1.2</v>
      </c>
      <c r="E2" s="9">
        <f>Scenarios!F90</f>
        <v>1E-3</v>
      </c>
      <c r="F2" s="9">
        <f>Scenarios!G90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P94"/>
  <sheetViews>
    <sheetView workbookViewId="0">
      <selection activeCell="C14" sqref="C14"/>
    </sheetView>
  </sheetViews>
  <sheetFormatPr defaultColWidth="11" defaultRowHeight="15.75" x14ac:dyDescent="0.25"/>
  <cols>
    <col min="1" max="1" width="14.875" bestFit="1" customWidth="1"/>
    <col min="2" max="2" width="29" customWidth="1"/>
    <col min="3" max="3" width="30.625" customWidth="1"/>
    <col min="4" max="4" width="33.125" customWidth="1"/>
    <col min="5" max="5" width="31.5" customWidth="1"/>
    <col min="6" max="6" width="21.125" customWidth="1"/>
    <col min="8" max="8" width="16.5" customWidth="1"/>
    <col min="9" max="9" width="15.375" customWidth="1"/>
    <col min="10" max="10" width="18.37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102</v>
      </c>
      <c r="B2" s="8" t="str">
        <f>Scenarios!C91</f>
        <v>All teachers</v>
      </c>
      <c r="C2" s="8" t="str">
        <f>Scenarios!D91</f>
        <v>2x/week</v>
      </c>
      <c r="D2" s="8">
        <f>Scenarios!E91</f>
        <v>1.2</v>
      </c>
      <c r="E2" s="9">
        <f>Scenarios!F91</f>
        <v>0.01</v>
      </c>
      <c r="F2" s="9">
        <f>Scenarios!G91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103</v>
      </c>
      <c r="B2" s="8" t="str">
        <f>Scenarios!C92</f>
        <v>All teachers</v>
      </c>
      <c r="C2" s="8" t="str">
        <f>Scenarios!D92</f>
        <v>2x/week</v>
      </c>
      <c r="D2" s="8">
        <f>Scenarios!E92</f>
        <v>2</v>
      </c>
      <c r="E2" s="9">
        <f>Scenarios!F92</f>
        <v>1E-3</v>
      </c>
      <c r="F2" s="9">
        <f>Scenarios!G92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104</v>
      </c>
      <c r="B2" s="8" t="str">
        <f>Scenarios!C93</f>
        <v>All teachers + 13-18 year olds</v>
      </c>
      <c r="C2" s="8" t="str">
        <f>Scenarios!D93</f>
        <v>1x/2 weeks</v>
      </c>
      <c r="D2" s="8">
        <f>Scenarios!E93</f>
        <v>0.8</v>
      </c>
      <c r="E2" s="9">
        <f>Scenarios!F93</f>
        <v>1E-3</v>
      </c>
      <c r="F2" s="9">
        <f>Scenarios!G93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105</v>
      </c>
      <c r="B2" s="8" t="str">
        <f>Scenarios!C94</f>
        <v>All teachers + 13-18 year olds</v>
      </c>
      <c r="C2" s="8" t="str">
        <f>Scenarios!D94</f>
        <v>1x/2 weeks</v>
      </c>
      <c r="D2" s="8">
        <f>Scenarios!E94</f>
        <v>0.8</v>
      </c>
      <c r="E2" s="9">
        <f>Scenarios!F94</f>
        <v>0.01</v>
      </c>
      <c r="F2" s="9">
        <f>Scenarios!G94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106</v>
      </c>
      <c r="B2" s="8" t="str">
        <f>Scenarios!C95</f>
        <v>All teachers + 13-18 year olds</v>
      </c>
      <c r="C2" s="8" t="str">
        <f>Scenarios!D95</f>
        <v>1x/2 weeks</v>
      </c>
      <c r="D2" s="8">
        <f>Scenarios!E95</f>
        <v>1.2</v>
      </c>
      <c r="E2" s="9">
        <f>Scenarios!F95</f>
        <v>1E-3</v>
      </c>
      <c r="F2" s="9">
        <f>Scenarios!G95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107</v>
      </c>
      <c r="B2" s="8" t="str">
        <f>Scenarios!C96</f>
        <v>All teachers + 13-18 year olds</v>
      </c>
      <c r="C2" s="8" t="str">
        <f>Scenarios!D96</f>
        <v>1x/2 weeks</v>
      </c>
      <c r="D2" s="8">
        <f>Scenarios!E96</f>
        <v>1.2</v>
      </c>
      <c r="E2" s="9">
        <f>Scenarios!F96</f>
        <v>0.01</v>
      </c>
      <c r="F2" s="9">
        <f>Scenarios!G96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108</v>
      </c>
      <c r="B2" s="8" t="str">
        <f>Scenarios!C97</f>
        <v>All teachers + 13-18 year olds</v>
      </c>
      <c r="C2" s="8" t="str">
        <f>Scenarios!D97</f>
        <v>1x/2 weeks</v>
      </c>
      <c r="D2" s="8">
        <f>Scenarios!E97</f>
        <v>2</v>
      </c>
      <c r="E2" s="9">
        <f>Scenarios!F97</f>
        <v>1E-3</v>
      </c>
      <c r="F2" s="9">
        <f>Scenarios!G97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109</v>
      </c>
      <c r="B2" s="8" t="str">
        <f>Scenarios!C98</f>
        <v>All teachers + 13-18 year olds</v>
      </c>
      <c r="C2" s="8" t="str">
        <f>Scenarios!D98</f>
        <v>1x/2 weeks</v>
      </c>
      <c r="D2" s="8">
        <f>Scenarios!E98</f>
        <v>2</v>
      </c>
      <c r="E2" s="9">
        <f>Scenarios!F98</f>
        <v>0.01</v>
      </c>
      <c r="F2" s="9">
        <f>Scenarios!G98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110</v>
      </c>
      <c r="B2" s="8" t="str">
        <f>Scenarios!C99</f>
        <v>All teachers + 13-18 year olds</v>
      </c>
      <c r="C2" s="8" t="str">
        <f>Scenarios!D99</f>
        <v>1x/week</v>
      </c>
      <c r="D2" s="8">
        <f>Scenarios!E99</f>
        <v>0.8</v>
      </c>
      <c r="E2" s="9">
        <f>Scenarios!F99</f>
        <v>1E-3</v>
      </c>
      <c r="F2" s="9">
        <f>Scenarios!G99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111</v>
      </c>
      <c r="B2" s="8" t="str">
        <f>Scenarios!C100</f>
        <v>All teachers + 13-18 year olds</v>
      </c>
      <c r="C2" s="8" t="str">
        <f>Scenarios!D100</f>
        <v>1x/week</v>
      </c>
      <c r="D2" s="8">
        <f>Scenarios!E100</f>
        <v>0.8</v>
      </c>
      <c r="E2" s="9">
        <f>Scenarios!F100</f>
        <v>0.01</v>
      </c>
      <c r="F2" s="9">
        <f>Scenarios!G100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112</v>
      </c>
      <c r="B2" s="8" t="str">
        <f>Scenarios!C101</f>
        <v>All teachers + 13-18 year olds</v>
      </c>
      <c r="C2" s="8" t="str">
        <f>Scenarios!D101</f>
        <v>1x/week</v>
      </c>
      <c r="D2" s="8">
        <f>Scenarios!E101</f>
        <v>1.2</v>
      </c>
      <c r="E2" s="9">
        <f>Scenarios!F101</f>
        <v>1E-3</v>
      </c>
      <c r="F2" s="9">
        <f>Scenarios!G101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113</v>
      </c>
      <c r="B2" s="8" t="str">
        <f>Scenarios!C102</f>
        <v>All teachers + 13-18 year olds</v>
      </c>
      <c r="C2" s="8" t="str">
        <f>Scenarios!D102</f>
        <v>1x/week</v>
      </c>
      <c r="D2" s="8">
        <f>Scenarios!E102</f>
        <v>1.2</v>
      </c>
      <c r="E2" s="9">
        <f>Scenarios!F102</f>
        <v>0.01</v>
      </c>
      <c r="F2" s="9">
        <f>Scenarios!G102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114</v>
      </c>
      <c r="B2" s="8" t="str">
        <f>Scenarios!C103</f>
        <v>All teachers + 13-18 year olds</v>
      </c>
      <c r="C2" s="8" t="str">
        <f>Scenarios!D103</f>
        <v>1x/week</v>
      </c>
      <c r="D2" s="8">
        <f>Scenarios!E103</f>
        <v>2</v>
      </c>
      <c r="E2" s="9">
        <f>Scenarios!F103</f>
        <v>1E-3</v>
      </c>
      <c r="F2" s="9">
        <f>Scenarios!G103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115</v>
      </c>
      <c r="B2" s="8" t="str">
        <f>Scenarios!C104</f>
        <v>All teachers + 13-18 year olds</v>
      </c>
      <c r="C2" s="8" t="str">
        <f>Scenarios!D104</f>
        <v>1x/week</v>
      </c>
      <c r="D2" s="8">
        <f>Scenarios!E104</f>
        <v>2</v>
      </c>
      <c r="E2" s="9">
        <f>Scenarios!F104</f>
        <v>0.01</v>
      </c>
      <c r="F2" s="9">
        <f>Scenarios!G104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116</v>
      </c>
      <c r="B2" s="8" t="str">
        <f>Scenarios!C105</f>
        <v>All teachers + 13-18 year olds</v>
      </c>
      <c r="C2" s="8" t="str">
        <f>Scenarios!D105</f>
        <v>2x/week</v>
      </c>
      <c r="D2" s="8">
        <f>Scenarios!E105</f>
        <v>0.8</v>
      </c>
      <c r="E2" s="9">
        <f>Scenarios!F105</f>
        <v>1E-3</v>
      </c>
      <c r="F2" s="9">
        <f>Scenarios!G105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117</v>
      </c>
      <c r="B2" s="8" t="str">
        <f>Scenarios!C106</f>
        <v>All teachers + 13-18 year olds</v>
      </c>
      <c r="C2" s="8" t="str">
        <f>Scenarios!D106</f>
        <v>2x/week</v>
      </c>
      <c r="D2" s="8">
        <f>Scenarios!E106</f>
        <v>0.8</v>
      </c>
      <c r="E2" s="9">
        <f>Scenarios!F106</f>
        <v>0.01</v>
      </c>
      <c r="F2" s="9">
        <f>Scenarios!G106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118</v>
      </c>
      <c r="B2" s="8" t="str">
        <f>Scenarios!C107</f>
        <v>All teachers + 13-18 year olds</v>
      </c>
      <c r="C2" s="8" t="str">
        <f>Scenarios!D107</f>
        <v>2x/week</v>
      </c>
      <c r="D2" s="8">
        <f>Scenarios!E107</f>
        <v>1.2</v>
      </c>
      <c r="E2" s="9">
        <f>Scenarios!F107</f>
        <v>1E-3</v>
      </c>
      <c r="F2" s="9">
        <f>Scenarios!G107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119</v>
      </c>
      <c r="B2" s="8" t="str">
        <f>Scenarios!C108</f>
        <v>All teachers + 13-18 year olds</v>
      </c>
      <c r="C2" s="8" t="str">
        <f>Scenarios!D108</f>
        <v>2x/week</v>
      </c>
      <c r="D2" s="8">
        <f>Scenarios!E108</f>
        <v>1.2</v>
      </c>
      <c r="E2" s="9">
        <f>Scenarios!F108</f>
        <v>0.01</v>
      </c>
      <c r="F2" s="9">
        <f>Scenarios!G108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120</v>
      </c>
      <c r="B2" s="8" t="str">
        <f>Scenarios!C109</f>
        <v>All teachers + 13-18 year olds</v>
      </c>
      <c r="C2" s="8" t="str">
        <f>Scenarios!D109</f>
        <v>2x/week</v>
      </c>
      <c r="D2" s="8">
        <f>Scenarios!E109</f>
        <v>2</v>
      </c>
      <c r="E2" s="9">
        <f>Scenarios!F109</f>
        <v>1E-3</v>
      </c>
      <c r="F2" s="9">
        <f>Scenarios!G109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121</v>
      </c>
      <c r="B2" s="8" t="str">
        <f>Scenarios!C110</f>
        <v>All teachers + 13-18 year olds</v>
      </c>
      <c r="C2" s="8" t="str">
        <f>Scenarios!D110</f>
        <v>2x/week</v>
      </c>
      <c r="D2" s="8">
        <f>Scenarios!E110</f>
        <v>2</v>
      </c>
      <c r="E2" s="9">
        <f>Scenarios!F110</f>
        <v>0.01</v>
      </c>
      <c r="F2" s="9">
        <f>Scenarios!G110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122</v>
      </c>
      <c r="B2" s="8" t="str">
        <f>Scenarios!C111</f>
        <v>All teachers + 5-12 year olds</v>
      </c>
      <c r="C2" s="8" t="str">
        <f>Scenarios!D111</f>
        <v>1x/2 weeks</v>
      </c>
      <c r="D2" s="8">
        <f>Scenarios!E111</f>
        <v>0.8</v>
      </c>
      <c r="E2" s="9">
        <f>Scenarios!F111</f>
        <v>1E-3</v>
      </c>
      <c r="F2" s="9">
        <f>Scenarios!G111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123</v>
      </c>
      <c r="B2" s="8" t="str">
        <f>Scenarios!C112</f>
        <v>All teachers + 5-12 year olds</v>
      </c>
      <c r="C2" s="8" t="str">
        <f>Scenarios!D112</f>
        <v>1x/2 weeks</v>
      </c>
      <c r="D2" s="8">
        <f>Scenarios!E112</f>
        <v>0.8</v>
      </c>
      <c r="E2" s="9">
        <f>Scenarios!F112</f>
        <v>0.01</v>
      </c>
      <c r="F2" s="9">
        <f>Scenarios!G112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124</v>
      </c>
      <c r="B2" s="8" t="str">
        <f>Scenarios!C113</f>
        <v>All teachers + 5-12 year olds</v>
      </c>
      <c r="C2" s="8" t="str">
        <f>Scenarios!D113</f>
        <v>1x/2 weeks</v>
      </c>
      <c r="D2" s="8">
        <f>Scenarios!E113</f>
        <v>1.2</v>
      </c>
      <c r="E2" s="9">
        <f>Scenarios!F113</f>
        <v>1E-3</v>
      </c>
      <c r="F2" s="9">
        <f>Scenarios!G113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125</v>
      </c>
      <c r="B2" s="8" t="str">
        <f>Scenarios!C114</f>
        <v>All teachers + 5-12 year olds</v>
      </c>
      <c r="C2" s="8" t="str">
        <f>Scenarios!D114</f>
        <v>1x/2 weeks</v>
      </c>
      <c r="D2" s="8">
        <f>Scenarios!E114</f>
        <v>1.2</v>
      </c>
      <c r="E2" s="9">
        <f>Scenarios!F114</f>
        <v>0.01</v>
      </c>
      <c r="F2" s="9">
        <f>Scenarios!G114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126</v>
      </c>
      <c r="B2" s="8" t="str">
        <f>Scenarios!C115</f>
        <v>All teachers + 5-12 year olds</v>
      </c>
      <c r="C2" s="8" t="str">
        <f>Scenarios!D115</f>
        <v>1x/2 weeks</v>
      </c>
      <c r="D2" s="8">
        <f>Scenarios!E115</f>
        <v>2</v>
      </c>
      <c r="E2" s="9">
        <f>Scenarios!F115</f>
        <v>1E-3</v>
      </c>
      <c r="F2" s="9">
        <f>Scenarios!G115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127</v>
      </c>
      <c r="B2" s="8" t="str">
        <f>Scenarios!C116</f>
        <v>All teachers + 5-12 year olds</v>
      </c>
      <c r="C2" s="8" t="str">
        <f>Scenarios!D116</f>
        <v>1x/2 weeks</v>
      </c>
      <c r="D2" s="8">
        <f>Scenarios!E116</f>
        <v>2</v>
      </c>
      <c r="E2" s="9">
        <f>Scenarios!F116</f>
        <v>0.01</v>
      </c>
      <c r="F2" s="9">
        <f>Scenarios!G116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128</v>
      </c>
      <c r="B2" s="8" t="str">
        <f>Scenarios!C117</f>
        <v>All teachers + 5-12 year olds</v>
      </c>
      <c r="C2" s="8" t="str">
        <f>Scenarios!D117</f>
        <v>1x/week</v>
      </c>
      <c r="D2" s="8">
        <f>Scenarios!E117</f>
        <v>0.8</v>
      </c>
      <c r="E2" s="9">
        <f>Scenarios!F117</f>
        <v>1E-3</v>
      </c>
      <c r="F2" s="9">
        <f>Scenarios!G117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129</v>
      </c>
      <c r="B2" s="8" t="str">
        <f>Scenarios!C118</f>
        <v>All teachers + 5-12 year olds</v>
      </c>
      <c r="C2" s="8" t="str">
        <f>Scenarios!D118</f>
        <v>1x/week</v>
      </c>
      <c r="D2" s="8">
        <f>Scenarios!E118</f>
        <v>0.8</v>
      </c>
      <c r="E2" s="9">
        <f>Scenarios!F118</f>
        <v>0.01</v>
      </c>
      <c r="F2" s="9">
        <f>Scenarios!G118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130</v>
      </c>
      <c r="B2" s="8" t="str">
        <f>Scenarios!C119</f>
        <v>All teachers + 5-12 year olds</v>
      </c>
      <c r="C2" s="8" t="str">
        <f>Scenarios!D119</f>
        <v>1x/week</v>
      </c>
      <c r="D2" s="8">
        <f>Scenarios!E119</f>
        <v>1.2</v>
      </c>
      <c r="E2" s="9">
        <f>Scenarios!F119</f>
        <v>1E-3</v>
      </c>
      <c r="F2" s="9">
        <f>Scenarios!G119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131</v>
      </c>
      <c r="B2" s="8" t="str">
        <f>Scenarios!C120</f>
        <v>All teachers + 5-12 year olds</v>
      </c>
      <c r="C2" s="8" t="str">
        <f>Scenarios!D120</f>
        <v>1x/week</v>
      </c>
      <c r="D2" s="8">
        <f>Scenarios!E120</f>
        <v>1.2</v>
      </c>
      <c r="E2" s="9">
        <f>Scenarios!F120</f>
        <v>0.01</v>
      </c>
      <c r="F2" s="9">
        <f>Scenarios!G120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132</v>
      </c>
      <c r="B2" s="8" t="str">
        <f>Scenarios!C121</f>
        <v>All teachers + 5-12 year olds</v>
      </c>
      <c r="C2" s="8" t="str">
        <f>Scenarios!D121</f>
        <v>1x/week</v>
      </c>
      <c r="D2" s="8">
        <f>Scenarios!E121</f>
        <v>2</v>
      </c>
      <c r="E2" s="9">
        <f>Scenarios!F121</f>
        <v>1E-3</v>
      </c>
      <c r="F2" s="9">
        <f>Scenarios!G121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133</v>
      </c>
      <c r="B2" s="8" t="str">
        <f>Scenarios!C122</f>
        <v>All teachers + 5-12 year olds</v>
      </c>
      <c r="C2" s="8" t="str">
        <f>Scenarios!D122</f>
        <v>1x/week</v>
      </c>
      <c r="D2" s="8">
        <f>Scenarios!E122</f>
        <v>2</v>
      </c>
      <c r="E2" s="9">
        <f>Scenarios!F122</f>
        <v>0.01</v>
      </c>
      <c r="F2" s="9">
        <f>Scenarios!G122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134</v>
      </c>
      <c r="B2" s="8" t="str">
        <f>Scenarios!C123</f>
        <v>All teachers + 5-12 year olds</v>
      </c>
      <c r="C2" s="8" t="str">
        <f>Scenarios!D123</f>
        <v>2x/week</v>
      </c>
      <c r="D2" s="8">
        <f>Scenarios!E123</f>
        <v>0.8</v>
      </c>
      <c r="E2" s="9">
        <f>Scenarios!F123</f>
        <v>1E-3</v>
      </c>
      <c r="F2" s="9">
        <f>Scenarios!G123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135</v>
      </c>
      <c r="B2" s="8" t="str">
        <f>Scenarios!C124</f>
        <v>All teachers + 5-12 year olds</v>
      </c>
      <c r="C2" s="8" t="str">
        <f>Scenarios!D124</f>
        <v>2x/week</v>
      </c>
      <c r="D2" s="8">
        <f>Scenarios!E124</f>
        <v>0.8</v>
      </c>
      <c r="E2" s="9">
        <f>Scenarios!F124</f>
        <v>0.01</v>
      </c>
      <c r="F2" s="9">
        <f>Scenarios!G124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136</v>
      </c>
      <c r="B2" s="8" t="str">
        <f>Scenarios!C125</f>
        <v>All teachers + 5-12 year olds</v>
      </c>
      <c r="C2" s="8" t="str">
        <f>Scenarios!D125</f>
        <v>2x/week</v>
      </c>
      <c r="D2" s="8">
        <f>Scenarios!E125</f>
        <v>1.2</v>
      </c>
      <c r="E2" s="9">
        <f>Scenarios!F125</f>
        <v>1E-3</v>
      </c>
      <c r="F2" s="9">
        <f>Scenarios!G125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137</v>
      </c>
      <c r="B2" s="8" t="str">
        <f>Scenarios!C126</f>
        <v>All teachers + 5-12 year olds</v>
      </c>
      <c r="C2" s="8" t="str">
        <f>Scenarios!D126</f>
        <v>2x/week</v>
      </c>
      <c r="D2" s="8">
        <f>Scenarios!E126</f>
        <v>1.2</v>
      </c>
      <c r="E2" s="9">
        <f>Scenarios!F126</f>
        <v>0.01</v>
      </c>
      <c r="F2" s="9">
        <f>Scenarios!G126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138</v>
      </c>
      <c r="B2" s="8" t="str">
        <f>Scenarios!C127</f>
        <v>All teachers + 5-12 year olds</v>
      </c>
      <c r="C2" s="8" t="str">
        <f>Scenarios!D127</f>
        <v>2x/week</v>
      </c>
      <c r="D2" s="8">
        <f>Scenarios!E127</f>
        <v>2</v>
      </c>
      <c r="E2" s="9">
        <f>Scenarios!F127</f>
        <v>1E-3</v>
      </c>
      <c r="F2" s="9">
        <f>Scenarios!G127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139</v>
      </c>
      <c r="B2" s="8" t="str">
        <f>Scenarios!C128</f>
        <v>All teachers + 5-12 year olds</v>
      </c>
      <c r="C2" s="8" t="str">
        <f>Scenarios!D128</f>
        <v>2x/week</v>
      </c>
      <c r="D2" s="8">
        <f>Scenarios!E128</f>
        <v>2</v>
      </c>
      <c r="E2" s="9">
        <f>Scenarios!F128</f>
        <v>0.01</v>
      </c>
      <c r="F2" s="9">
        <f>Scenarios!G128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140</v>
      </c>
      <c r="B2" s="8" t="str">
        <f>Scenarios!C129</f>
        <v>All teachers + all students</v>
      </c>
      <c r="C2" s="8" t="str">
        <f>Scenarios!D129</f>
        <v>1x/2 weeks</v>
      </c>
      <c r="D2" s="8">
        <f>Scenarios!E129</f>
        <v>0.8</v>
      </c>
      <c r="E2" s="9">
        <f>Scenarios!F129</f>
        <v>1E-3</v>
      </c>
      <c r="F2" s="9">
        <f>Scenarios!G129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141</v>
      </c>
      <c r="B2" s="8" t="str">
        <f>Scenarios!C130</f>
        <v>All teachers + all students</v>
      </c>
      <c r="C2" s="8" t="str">
        <f>Scenarios!D130</f>
        <v>1x/2 weeks</v>
      </c>
      <c r="D2" s="8">
        <f>Scenarios!E130</f>
        <v>0.8</v>
      </c>
      <c r="E2" s="9">
        <f>Scenarios!F130</f>
        <v>0.01</v>
      </c>
      <c r="F2" s="9">
        <f>Scenarios!G130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142</v>
      </c>
      <c r="B2" s="8" t="str">
        <f>Scenarios!C131</f>
        <v>All teachers + all students</v>
      </c>
      <c r="C2" s="8" t="str">
        <f>Scenarios!D131</f>
        <v>1x/2 weeks</v>
      </c>
      <c r="D2" s="8">
        <f>Scenarios!E131</f>
        <v>1.2</v>
      </c>
      <c r="E2" s="9">
        <f>Scenarios!F131</f>
        <v>1E-3</v>
      </c>
      <c r="F2" s="9">
        <f>Scenarios!G131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143</v>
      </c>
      <c r="B2" s="8" t="str">
        <f>Scenarios!C132</f>
        <v>All teachers + all students</v>
      </c>
      <c r="C2" s="8" t="str">
        <f>Scenarios!D132</f>
        <v>1x/2 weeks</v>
      </c>
      <c r="D2" s="8">
        <f>Scenarios!E132</f>
        <v>1.2</v>
      </c>
      <c r="E2" s="9">
        <f>Scenarios!F132</f>
        <v>0.01</v>
      </c>
      <c r="F2" s="9">
        <f>Scenarios!G132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144</v>
      </c>
      <c r="B2" s="8" t="str">
        <f>Scenarios!C133</f>
        <v>All teachers + all students</v>
      </c>
      <c r="C2" s="8" t="str">
        <f>Scenarios!D133</f>
        <v>1x/2 weeks</v>
      </c>
      <c r="D2" s="8">
        <f>Scenarios!E133</f>
        <v>2</v>
      </c>
      <c r="E2" s="9">
        <f>Scenarios!F133</f>
        <v>1E-3</v>
      </c>
      <c r="F2" s="9">
        <f>Scenarios!G133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145</v>
      </c>
      <c r="B2" s="8" t="str">
        <f>Scenarios!C134</f>
        <v>All teachers + all students</v>
      </c>
      <c r="C2" s="8" t="str">
        <f>Scenarios!D134</f>
        <v>1x/2 weeks</v>
      </c>
      <c r="D2" s="8">
        <f>Scenarios!E134</f>
        <v>2</v>
      </c>
      <c r="E2" s="9">
        <f>Scenarios!F134</f>
        <v>0.01</v>
      </c>
      <c r="F2" s="9">
        <f>Scenarios!G134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146</v>
      </c>
      <c r="B2" s="8" t="str">
        <f>Scenarios!C135</f>
        <v>All teachers + all students</v>
      </c>
      <c r="C2" s="8" t="str">
        <f>Scenarios!D135</f>
        <v>1x/week</v>
      </c>
      <c r="D2" s="8">
        <f>Scenarios!E135</f>
        <v>0.8</v>
      </c>
      <c r="E2" s="9">
        <f>Scenarios!F135</f>
        <v>1E-3</v>
      </c>
      <c r="F2" s="9">
        <f>Scenarios!G135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147</v>
      </c>
      <c r="B2" s="8" t="str">
        <f>Scenarios!C136</f>
        <v>All teachers + all students</v>
      </c>
      <c r="C2" s="8" t="str">
        <f>Scenarios!D136</f>
        <v>1x/week</v>
      </c>
      <c r="D2" s="8">
        <f>Scenarios!E136</f>
        <v>0.8</v>
      </c>
      <c r="E2" s="9">
        <f>Scenarios!F136</f>
        <v>0.01</v>
      </c>
      <c r="F2" s="9">
        <f>Scenarios!G136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148</v>
      </c>
      <c r="B2" s="8" t="str">
        <f>Scenarios!C137</f>
        <v>All teachers + all students</v>
      </c>
      <c r="C2" s="8" t="str">
        <f>Scenarios!D137</f>
        <v>1x/week</v>
      </c>
      <c r="D2" s="8">
        <f>Scenarios!E137</f>
        <v>1.2</v>
      </c>
      <c r="E2" s="9">
        <f>Scenarios!F137</f>
        <v>1E-3</v>
      </c>
      <c r="F2" s="9">
        <f>Scenarios!G137</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149</v>
      </c>
      <c r="B2" s="8" t="str">
        <f>Scenarios!C138</f>
        <v>All teachers + all students</v>
      </c>
      <c r="C2" s="8" t="str">
        <f>Scenarios!D138</f>
        <v>1x/week</v>
      </c>
      <c r="D2" s="8">
        <f>Scenarios!E138</f>
        <v>1.2</v>
      </c>
      <c r="E2" s="9">
        <f>Scenarios!F138</f>
        <v>0.01</v>
      </c>
      <c r="F2" s="9">
        <f>Scenarios!G138</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150</v>
      </c>
      <c r="B2" s="8" t="str">
        <f>Scenarios!C139</f>
        <v>All teachers + all students</v>
      </c>
      <c r="C2" s="8" t="str">
        <f>Scenarios!D139</f>
        <v>1x/week</v>
      </c>
      <c r="D2" s="8">
        <f>Scenarios!E139</f>
        <v>2</v>
      </c>
      <c r="E2" s="9">
        <f>Scenarios!F139</f>
        <v>1E-3</v>
      </c>
      <c r="F2" s="9">
        <f>Scenarios!G139</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151</v>
      </c>
      <c r="B2" s="8" t="str">
        <f>Scenarios!C140</f>
        <v>All teachers + all students</v>
      </c>
      <c r="C2" s="8" t="str">
        <f>Scenarios!D140</f>
        <v>1x/week</v>
      </c>
      <c r="D2" s="8">
        <f>Scenarios!E140</f>
        <v>2</v>
      </c>
      <c r="E2" s="9">
        <f>Scenarios!F140</f>
        <v>0.01</v>
      </c>
      <c r="F2" s="9">
        <f>Scenarios!G140</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152</v>
      </c>
      <c r="B2" s="8" t="str">
        <f>Scenarios!C141</f>
        <v>All teachers + all students</v>
      </c>
      <c r="C2" s="8" t="str">
        <f>Scenarios!D141</f>
        <v>2x/week</v>
      </c>
      <c r="D2" s="8">
        <f>Scenarios!E141</f>
        <v>0.8</v>
      </c>
      <c r="E2" s="9">
        <f>Scenarios!F141</f>
        <v>1E-3</v>
      </c>
      <c r="F2" s="9">
        <f>Scenarios!G141</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153</v>
      </c>
      <c r="B2" s="8" t="str">
        <f>Scenarios!C142</f>
        <v>All teachers + all students</v>
      </c>
      <c r="C2" s="8" t="str">
        <f>Scenarios!D142</f>
        <v>2x/week</v>
      </c>
      <c r="D2" s="8">
        <f>Scenarios!E142</f>
        <v>0.8</v>
      </c>
      <c r="E2" s="9">
        <f>Scenarios!F142</f>
        <v>0.01</v>
      </c>
      <c r="F2" s="9">
        <f>Scenarios!G142</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154</v>
      </c>
      <c r="B2" s="8" t="str">
        <f>Scenarios!C143</f>
        <v>All teachers + all students</v>
      </c>
      <c r="C2" s="8" t="str">
        <f>Scenarios!D143</f>
        <v>2x/week</v>
      </c>
      <c r="D2" s="8">
        <f>Scenarios!E143</f>
        <v>1.2</v>
      </c>
      <c r="E2" s="9">
        <f>Scenarios!F143</f>
        <v>1E-3</v>
      </c>
      <c r="F2" s="9">
        <f>Scenarios!G143</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155</v>
      </c>
      <c r="B2" s="8" t="str">
        <f>Scenarios!C144</f>
        <v>All teachers + all students</v>
      </c>
      <c r="C2" s="8" t="str">
        <f>Scenarios!D144</f>
        <v>2x/week</v>
      </c>
      <c r="D2" s="8">
        <f>Scenarios!E144</f>
        <v>1.2</v>
      </c>
      <c r="E2" s="9">
        <f>Scenarios!F144</f>
        <v>0.01</v>
      </c>
      <c r="F2" s="9">
        <f>Scenarios!G144</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156</v>
      </c>
      <c r="B2" s="8" t="str">
        <f>Scenarios!C145</f>
        <v>All teachers + all students</v>
      </c>
      <c r="C2" s="8" t="str">
        <f>Scenarios!D145</f>
        <v>2x/week</v>
      </c>
      <c r="D2" s="8">
        <f>Scenarios!E145</f>
        <v>2</v>
      </c>
      <c r="E2" s="9">
        <f>Scenarios!F145</f>
        <v>1E-3</v>
      </c>
      <c r="F2" s="9">
        <f>Scenarios!G145</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157</v>
      </c>
      <c r="B2" s="8" t="str">
        <f>Scenarios!C146</f>
        <v>All teachers + all students</v>
      </c>
      <c r="C2" s="8" t="str">
        <f>Scenarios!D146</f>
        <v>2x/week</v>
      </c>
      <c r="D2" s="8">
        <f>Scenarios!E146</f>
        <v>2</v>
      </c>
      <c r="E2" s="9">
        <f>Scenarios!F146</f>
        <v>0.01</v>
      </c>
      <c r="F2" s="9">
        <f>Scenarios!G146</f>
        <v>0.5</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158</v>
      </c>
      <c r="B2" s="8" t="str">
        <f>Scenarios!C147</f>
        <v>All teachers</v>
      </c>
      <c r="C2" s="8" t="str">
        <f>Scenarios!D147</f>
        <v>1x/2 weeks</v>
      </c>
      <c r="D2" s="8">
        <f>Scenarios!E147</f>
        <v>0.8</v>
      </c>
      <c r="E2" s="9">
        <f>Scenarios!F147</f>
        <v>1E-3</v>
      </c>
      <c r="F2" s="9">
        <f>Scenarios!G147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159</v>
      </c>
      <c r="B2" s="8" t="str">
        <f>Scenarios!C148</f>
        <v>All teachers</v>
      </c>
      <c r="C2" s="8" t="str">
        <f>Scenarios!D148</f>
        <v>1x/2 weeks</v>
      </c>
      <c r="D2" s="8">
        <f>Scenarios!E148</f>
        <v>0.8</v>
      </c>
      <c r="E2" s="9">
        <f>Scenarios!F148</f>
        <v>0.01</v>
      </c>
      <c r="F2" s="9">
        <f>Scenarios!G148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160</v>
      </c>
      <c r="B2" s="8" t="str">
        <f>Scenarios!C149</f>
        <v>All teachers</v>
      </c>
      <c r="C2" s="8" t="str">
        <f>Scenarios!D149</f>
        <v>1x/2 weeks</v>
      </c>
      <c r="D2" s="8">
        <f>Scenarios!E149</f>
        <v>1.2</v>
      </c>
      <c r="E2" s="9">
        <f>Scenarios!F149</f>
        <v>1E-3</v>
      </c>
      <c r="F2" s="9">
        <f>Scenarios!G149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161</v>
      </c>
      <c r="B2" s="8" t="str">
        <f>Scenarios!C150</f>
        <v>All teachers</v>
      </c>
      <c r="C2" s="8" t="str">
        <f>Scenarios!D150</f>
        <v>1x/2 weeks</v>
      </c>
      <c r="D2" s="8">
        <f>Scenarios!E150</f>
        <v>2</v>
      </c>
      <c r="E2" s="9">
        <f>Scenarios!F150</f>
        <v>1E-3</v>
      </c>
      <c r="F2" s="9">
        <f>Scenarios!G150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162</v>
      </c>
      <c r="B2" s="8" t="str">
        <f>Scenarios!C151</f>
        <v>All teachers</v>
      </c>
      <c r="C2" s="8" t="str">
        <f>Scenarios!D151</f>
        <v>1x/2 weeks</v>
      </c>
      <c r="D2" s="8">
        <f>Scenarios!E151</f>
        <v>2</v>
      </c>
      <c r="E2" s="9">
        <f>Scenarios!F151</f>
        <v>0.01</v>
      </c>
      <c r="F2" s="9">
        <f>Scenarios!G151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163</v>
      </c>
      <c r="B2" s="8" t="str">
        <f>Scenarios!C152</f>
        <v>All teachers</v>
      </c>
      <c r="C2" s="8" t="str">
        <f>Scenarios!D152</f>
        <v>1x/2 weeks</v>
      </c>
      <c r="D2" s="8">
        <f>Scenarios!E152</f>
        <v>2</v>
      </c>
      <c r="E2" s="9">
        <f>Scenarios!F152</f>
        <v>0.01</v>
      </c>
      <c r="F2" s="9">
        <f>Scenarios!G152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164</v>
      </c>
      <c r="B2" s="8" t="str">
        <f>Scenarios!C153</f>
        <v>All teachers</v>
      </c>
      <c r="C2" s="8" t="str">
        <f>Scenarios!D153</f>
        <v>1x/week</v>
      </c>
      <c r="D2" s="8">
        <f>Scenarios!E153</f>
        <v>0.8</v>
      </c>
      <c r="E2" s="9">
        <f>Scenarios!F153</f>
        <v>1E-3</v>
      </c>
      <c r="F2" s="9">
        <f>Scenarios!G153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165</v>
      </c>
      <c r="B2" s="8" t="str">
        <f>Scenarios!C154</f>
        <v>All teachers</v>
      </c>
      <c r="C2" s="8" t="str">
        <f>Scenarios!D154</f>
        <v>1x/week</v>
      </c>
      <c r="D2" s="8">
        <f>Scenarios!E154</f>
        <v>0.8</v>
      </c>
      <c r="E2" s="9">
        <f>Scenarios!F154</f>
        <v>0.01</v>
      </c>
      <c r="F2" s="9">
        <f>Scenarios!G154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166</v>
      </c>
      <c r="B2" s="8" t="str">
        <f>Scenarios!C155</f>
        <v>All teachers</v>
      </c>
      <c r="C2" s="8" t="str">
        <f>Scenarios!D155</f>
        <v>1x/week</v>
      </c>
      <c r="D2" s="8">
        <f>Scenarios!E155</f>
        <v>1.2</v>
      </c>
      <c r="E2" s="9">
        <f>Scenarios!F155</f>
        <v>1E-3</v>
      </c>
      <c r="F2" s="9">
        <f>Scenarios!G155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167</v>
      </c>
      <c r="B2" s="8" t="str">
        <f>Scenarios!C156</f>
        <v>All teachers</v>
      </c>
      <c r="C2" s="8" t="str">
        <f>Scenarios!D156</f>
        <v>1x/week</v>
      </c>
      <c r="D2" s="8">
        <f>Scenarios!E156</f>
        <v>2</v>
      </c>
      <c r="E2" s="9">
        <f>Scenarios!F156</f>
        <v>1E-3</v>
      </c>
      <c r="F2" s="9">
        <f>Scenarios!G156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168</v>
      </c>
      <c r="B2" s="8" t="str">
        <f>Scenarios!C157</f>
        <v>All teachers</v>
      </c>
      <c r="C2" s="8" t="str">
        <f>Scenarios!D157</f>
        <v>1x/week</v>
      </c>
      <c r="D2" s="8">
        <f>Scenarios!E157</f>
        <v>2</v>
      </c>
      <c r="E2" s="9">
        <f>Scenarios!F157</f>
        <v>0.01</v>
      </c>
      <c r="F2" s="9">
        <f>Scenarios!G157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169</v>
      </c>
      <c r="B2" s="8" t="str">
        <f>Scenarios!C158</f>
        <v>All teachers</v>
      </c>
      <c r="C2" s="8" t="str">
        <f>Scenarios!D158</f>
        <v>1x/week</v>
      </c>
      <c r="D2" s="8">
        <f>Scenarios!E158</f>
        <v>2</v>
      </c>
      <c r="E2" s="9">
        <f>Scenarios!F158</f>
        <v>0.01</v>
      </c>
      <c r="F2" s="9">
        <f>Scenarios!G158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170</v>
      </c>
      <c r="B2" s="8" t="str">
        <f>Scenarios!C159</f>
        <v>All teachers</v>
      </c>
      <c r="C2" s="8" t="str">
        <f>Scenarios!D159</f>
        <v>2x/week</v>
      </c>
      <c r="D2" s="8">
        <f>Scenarios!E159</f>
        <v>0.8</v>
      </c>
      <c r="E2" s="9">
        <f>Scenarios!F159</f>
        <v>1E-3</v>
      </c>
      <c r="F2" s="9">
        <f>Scenarios!G159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171</v>
      </c>
      <c r="B2" s="8" t="str">
        <f>Scenarios!C160</f>
        <v>All teachers</v>
      </c>
      <c r="C2" s="8" t="str">
        <f>Scenarios!D160</f>
        <v>2x/week</v>
      </c>
      <c r="D2" s="8">
        <f>Scenarios!E160</f>
        <v>0.8</v>
      </c>
      <c r="E2" s="9">
        <f>Scenarios!F160</f>
        <v>0.01</v>
      </c>
      <c r="F2" s="9">
        <f>Scenarios!G160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172</v>
      </c>
      <c r="B2" s="8" t="str">
        <f>Scenarios!C161</f>
        <v>All teachers</v>
      </c>
      <c r="C2" s="8" t="str">
        <f>Scenarios!D161</f>
        <v>2x/week</v>
      </c>
      <c r="D2" s="8">
        <f>Scenarios!E161</f>
        <v>1.2</v>
      </c>
      <c r="E2" s="9">
        <f>Scenarios!F161</f>
        <v>1E-3</v>
      </c>
      <c r="F2" s="9">
        <f>Scenarios!G161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173</v>
      </c>
      <c r="B2" s="8" t="str">
        <f>Scenarios!C162</f>
        <v>All teachers</v>
      </c>
      <c r="C2" s="8" t="str">
        <f>Scenarios!D162</f>
        <v>2x/week</v>
      </c>
      <c r="D2" s="8">
        <f>Scenarios!E162</f>
        <v>2</v>
      </c>
      <c r="E2" s="9">
        <f>Scenarios!F162</f>
        <v>1E-3</v>
      </c>
      <c r="F2" s="9">
        <f>Scenarios!G162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174</v>
      </c>
      <c r="B2" s="8" t="str">
        <f>Scenarios!C163</f>
        <v>All teachers</v>
      </c>
      <c r="C2" s="8" t="str">
        <f>Scenarios!D163</f>
        <v>2x/week</v>
      </c>
      <c r="D2" s="8">
        <f>Scenarios!E163</f>
        <v>2</v>
      </c>
      <c r="E2" s="9">
        <f>Scenarios!F163</f>
        <v>0.01</v>
      </c>
      <c r="F2" s="9">
        <f>Scenarios!G163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175</v>
      </c>
      <c r="B2" s="8" t="str">
        <f>Scenarios!C164</f>
        <v>All teachers</v>
      </c>
      <c r="C2" s="8" t="str">
        <f>Scenarios!D164</f>
        <v>2x/week</v>
      </c>
      <c r="D2" s="8">
        <f>Scenarios!E164</f>
        <v>2</v>
      </c>
      <c r="E2" s="9">
        <f>Scenarios!F164</f>
        <v>0.01</v>
      </c>
      <c r="F2" s="9">
        <f>Scenarios!G164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176</v>
      </c>
      <c r="B2" s="8" t="str">
        <f>Scenarios!C165</f>
        <v>All teachers + 13-18 year olds</v>
      </c>
      <c r="C2" s="8" t="str">
        <f>Scenarios!D165</f>
        <v>1x/2 weeks</v>
      </c>
      <c r="D2" s="8">
        <f>Scenarios!E165</f>
        <v>0.8</v>
      </c>
      <c r="E2" s="9">
        <f>Scenarios!F165</f>
        <v>1E-3</v>
      </c>
      <c r="F2" s="9">
        <f>Scenarios!G165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177</v>
      </c>
      <c r="B2" s="8" t="str">
        <f>Scenarios!C166</f>
        <v>All teachers + 13-18 year olds</v>
      </c>
      <c r="C2" s="8" t="str">
        <f>Scenarios!D166</f>
        <v>1x/2 weeks</v>
      </c>
      <c r="D2" s="8">
        <f>Scenarios!E166</f>
        <v>0.8</v>
      </c>
      <c r="E2" s="9">
        <f>Scenarios!F166</f>
        <v>0.01</v>
      </c>
      <c r="F2" s="9">
        <f>Scenarios!G166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178</v>
      </c>
      <c r="B2" s="8" t="str">
        <f>Scenarios!C167</f>
        <v>All teachers + 13-18 year olds</v>
      </c>
      <c r="C2" s="8" t="str">
        <f>Scenarios!D167</f>
        <v>1x/2 weeks</v>
      </c>
      <c r="D2" s="8">
        <f>Scenarios!E167</f>
        <v>1.2</v>
      </c>
      <c r="E2" s="9">
        <f>Scenarios!F167</f>
        <v>1E-3</v>
      </c>
      <c r="F2" s="9">
        <f>Scenarios!G167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179</v>
      </c>
      <c r="B2" s="8" t="str">
        <f>Scenarios!C168</f>
        <v>All teachers + 13-18 year olds</v>
      </c>
      <c r="C2" s="8" t="str">
        <f>Scenarios!D168</f>
        <v>1x/2 weeks</v>
      </c>
      <c r="D2" s="8">
        <f>Scenarios!E168</f>
        <v>2</v>
      </c>
      <c r="E2" s="9">
        <f>Scenarios!F168</f>
        <v>1E-3</v>
      </c>
      <c r="F2" s="9">
        <f>Scenarios!G168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180</v>
      </c>
      <c r="B2" s="8" t="str">
        <f>Scenarios!C169</f>
        <v>All teachers + 13-18 year olds</v>
      </c>
      <c r="C2" s="8" t="str">
        <f>Scenarios!D169</f>
        <v>1x/2 weeks</v>
      </c>
      <c r="D2" s="8">
        <f>Scenarios!E169</f>
        <v>2</v>
      </c>
      <c r="E2" s="9">
        <f>Scenarios!F169</f>
        <v>0.01</v>
      </c>
      <c r="F2" s="9">
        <f>Scenarios!G169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181</v>
      </c>
      <c r="B2" s="8" t="str">
        <f>Scenarios!C170</f>
        <v>All teachers + 13-18 year olds</v>
      </c>
      <c r="C2" s="8" t="str">
        <f>Scenarios!D170</f>
        <v>1x/2 weeks</v>
      </c>
      <c r="D2" s="8">
        <f>Scenarios!E170</f>
        <v>2</v>
      </c>
      <c r="E2" s="9">
        <f>Scenarios!F170</f>
        <v>0.01</v>
      </c>
      <c r="F2" s="9">
        <f>Scenarios!G170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182</v>
      </c>
      <c r="B2" s="8" t="str">
        <f>Scenarios!C171</f>
        <v>All teachers + 13-18 year olds</v>
      </c>
      <c r="C2" s="8" t="str">
        <f>Scenarios!D171</f>
        <v>1x/week</v>
      </c>
      <c r="D2" s="8">
        <f>Scenarios!E171</f>
        <v>0.8</v>
      </c>
      <c r="E2" s="9">
        <f>Scenarios!F171</f>
        <v>1E-3</v>
      </c>
      <c r="F2" s="9">
        <f>Scenarios!G171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183</v>
      </c>
      <c r="B2" s="8" t="str">
        <f>Scenarios!C172</f>
        <v>All teachers + 13-18 year olds</v>
      </c>
      <c r="C2" s="8" t="str">
        <f>Scenarios!D172</f>
        <v>1x/week</v>
      </c>
      <c r="D2" s="8">
        <f>Scenarios!E172</f>
        <v>0.8</v>
      </c>
      <c r="E2" s="9">
        <f>Scenarios!F172</f>
        <v>0.01</v>
      </c>
      <c r="F2" s="9">
        <f>Scenarios!G172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184</v>
      </c>
      <c r="B2" s="8" t="str">
        <f>Scenarios!C173</f>
        <v>All teachers + 13-18 year olds</v>
      </c>
      <c r="C2" s="8" t="str">
        <f>Scenarios!D173</f>
        <v>1x/week</v>
      </c>
      <c r="D2" s="8">
        <f>Scenarios!E173</f>
        <v>1.2</v>
      </c>
      <c r="E2" s="9">
        <f>Scenarios!F173</f>
        <v>1E-3</v>
      </c>
      <c r="F2" s="9">
        <f>Scenarios!G173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185</v>
      </c>
      <c r="B2" s="8" t="str">
        <f>Scenarios!C174</f>
        <v>All teachers + 13-18 year olds</v>
      </c>
      <c r="C2" s="8" t="str">
        <f>Scenarios!D174</f>
        <v>1x/week</v>
      </c>
      <c r="D2" s="8">
        <f>Scenarios!E174</f>
        <v>2</v>
      </c>
      <c r="E2" s="9">
        <f>Scenarios!F174</f>
        <v>1E-3</v>
      </c>
      <c r="F2" s="9">
        <f>Scenarios!G174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186</v>
      </c>
      <c r="B2" s="8" t="str">
        <f>Scenarios!C175</f>
        <v>All teachers + 13-18 year olds</v>
      </c>
      <c r="C2" s="8" t="str">
        <f>Scenarios!D175</f>
        <v>1x/week</v>
      </c>
      <c r="D2" s="8">
        <f>Scenarios!E175</f>
        <v>2</v>
      </c>
      <c r="E2" s="9">
        <f>Scenarios!F175</f>
        <v>0.01</v>
      </c>
      <c r="F2" s="9">
        <f>Scenarios!G175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187</v>
      </c>
      <c r="B2" s="8" t="str">
        <f>Scenarios!C176</f>
        <v>All teachers + 13-18 year olds</v>
      </c>
      <c r="C2" s="8" t="str">
        <f>Scenarios!D176</f>
        <v>1x/week</v>
      </c>
      <c r="D2" s="8">
        <f>Scenarios!E176</f>
        <v>2</v>
      </c>
      <c r="E2" s="9">
        <f>Scenarios!F176</f>
        <v>0.01</v>
      </c>
      <c r="F2" s="9">
        <f>Scenarios!G176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188</v>
      </c>
      <c r="B2" s="8" t="str">
        <f>Scenarios!C177</f>
        <v>All teachers + 13-18 year olds</v>
      </c>
      <c r="C2" s="8" t="str">
        <f>Scenarios!D177</f>
        <v>2x/week</v>
      </c>
      <c r="D2" s="8">
        <f>Scenarios!E177</f>
        <v>0.8</v>
      </c>
      <c r="E2" s="9">
        <f>Scenarios!F177</f>
        <v>1E-3</v>
      </c>
      <c r="F2" s="9">
        <f>Scenarios!G177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189</v>
      </c>
      <c r="B2" s="8" t="str">
        <f>Scenarios!C178</f>
        <v>All teachers + 13-18 year olds</v>
      </c>
      <c r="C2" s="8" t="str">
        <f>Scenarios!D178</f>
        <v>2x/week</v>
      </c>
      <c r="D2" s="8">
        <f>Scenarios!E178</f>
        <v>0.8</v>
      </c>
      <c r="E2" s="9">
        <f>Scenarios!F178</f>
        <v>0.01</v>
      </c>
      <c r="F2" s="9">
        <f>Scenarios!G178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190</v>
      </c>
      <c r="B2" s="8" t="str">
        <f>Scenarios!C179</f>
        <v>All teachers + 13-18 year olds</v>
      </c>
      <c r="C2" s="8" t="str">
        <f>Scenarios!D179</f>
        <v>2x/week</v>
      </c>
      <c r="D2" s="8">
        <f>Scenarios!E179</f>
        <v>1.2</v>
      </c>
      <c r="E2" s="9">
        <f>Scenarios!F179</f>
        <v>1E-3</v>
      </c>
      <c r="F2" s="9">
        <f>Scenarios!G179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191</v>
      </c>
      <c r="B2" s="8" t="str">
        <f>Scenarios!C180</f>
        <v>All teachers + 13-18 year olds</v>
      </c>
      <c r="C2" s="8" t="str">
        <f>Scenarios!D180</f>
        <v>2x/week</v>
      </c>
      <c r="D2" s="8">
        <f>Scenarios!E180</f>
        <v>2</v>
      </c>
      <c r="E2" s="9">
        <f>Scenarios!F180</f>
        <v>1E-3</v>
      </c>
      <c r="F2" s="9">
        <f>Scenarios!G180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192</v>
      </c>
      <c r="B2" s="8" t="str">
        <f>Scenarios!C181</f>
        <v>All teachers + 13-18 year olds</v>
      </c>
      <c r="C2" s="8" t="str">
        <f>Scenarios!D181</f>
        <v>2x/week</v>
      </c>
      <c r="D2" s="8">
        <f>Scenarios!E181</f>
        <v>2</v>
      </c>
      <c r="E2" s="9">
        <f>Scenarios!F181</f>
        <v>0.01</v>
      </c>
      <c r="F2" s="9">
        <f>Scenarios!G181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193</v>
      </c>
      <c r="B2" s="8" t="str">
        <f>Scenarios!C182</f>
        <v>All teachers + 13-18 year olds</v>
      </c>
      <c r="C2" s="8" t="str">
        <f>Scenarios!D182</f>
        <v>2x/week</v>
      </c>
      <c r="D2" s="8">
        <f>Scenarios!E182</f>
        <v>2</v>
      </c>
      <c r="E2" s="9">
        <f>Scenarios!F182</f>
        <v>0.01</v>
      </c>
      <c r="F2" s="9">
        <f>Scenarios!G182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194</v>
      </c>
      <c r="B2" s="8" t="str">
        <f>Scenarios!C183</f>
        <v>All teachers + 5-12 year olds</v>
      </c>
      <c r="C2" s="8" t="str">
        <f>Scenarios!D183</f>
        <v>1x/2 weeks</v>
      </c>
      <c r="D2" s="8">
        <f>Scenarios!E183</f>
        <v>0.8</v>
      </c>
      <c r="E2" s="9">
        <f>Scenarios!F183</f>
        <v>1E-3</v>
      </c>
      <c r="F2" s="9">
        <f>Scenarios!G183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195</v>
      </c>
      <c r="B2" s="8" t="str">
        <f>Scenarios!C184</f>
        <v>All teachers + 5-12 year olds</v>
      </c>
      <c r="C2" s="8" t="str">
        <f>Scenarios!D184</f>
        <v>1x/2 weeks</v>
      </c>
      <c r="D2" s="8">
        <f>Scenarios!E184</f>
        <v>0.8</v>
      </c>
      <c r="E2" s="9">
        <f>Scenarios!F184</f>
        <v>0.01</v>
      </c>
      <c r="F2" s="9">
        <f>Scenarios!G184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196</v>
      </c>
      <c r="B2" s="8" t="str">
        <f>Scenarios!C185</f>
        <v>All teachers + 5-12 year olds</v>
      </c>
      <c r="C2" s="8" t="str">
        <f>Scenarios!D185</f>
        <v>1x/2 weeks</v>
      </c>
      <c r="D2" s="8">
        <f>Scenarios!E185</f>
        <v>1.2</v>
      </c>
      <c r="E2" s="9">
        <f>Scenarios!F185</f>
        <v>1E-3</v>
      </c>
      <c r="F2" s="9">
        <f>Scenarios!G185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197</v>
      </c>
      <c r="B2" s="8" t="str">
        <f>Scenarios!C186</f>
        <v>All teachers + 5-12 year olds</v>
      </c>
      <c r="C2" s="8" t="str">
        <f>Scenarios!D186</f>
        <v>1x/2 weeks</v>
      </c>
      <c r="D2" s="8">
        <f>Scenarios!E186</f>
        <v>2</v>
      </c>
      <c r="E2" s="9">
        <f>Scenarios!F186</f>
        <v>1E-3</v>
      </c>
      <c r="F2" s="9">
        <f>Scenarios!G186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198</v>
      </c>
      <c r="B2" s="8" t="str">
        <f>Scenarios!C187</f>
        <v>All teachers + 5-12 year olds</v>
      </c>
      <c r="C2" s="8" t="str">
        <f>Scenarios!D187</f>
        <v>1x/2 weeks</v>
      </c>
      <c r="D2" s="8">
        <f>Scenarios!E187</f>
        <v>2</v>
      </c>
      <c r="E2" s="9">
        <f>Scenarios!F187</f>
        <v>0.01</v>
      </c>
      <c r="F2" s="9">
        <f>Scenarios!G187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199</v>
      </c>
      <c r="B2" s="8" t="str">
        <f>Scenarios!C188</f>
        <v>All teachers + 5-12 year olds</v>
      </c>
      <c r="C2" s="8" t="str">
        <f>Scenarios!D188</f>
        <v>1x/2 weeks</v>
      </c>
      <c r="D2" s="8">
        <f>Scenarios!E188</f>
        <v>2</v>
      </c>
      <c r="E2" s="9">
        <f>Scenarios!F188</f>
        <v>0.01</v>
      </c>
      <c r="F2" s="9">
        <f>Scenarios!G188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200</v>
      </c>
      <c r="B2" s="8" t="str">
        <f>Scenarios!C189</f>
        <v>All teachers + 5-12 year olds</v>
      </c>
      <c r="C2" s="8" t="str">
        <f>Scenarios!D189</f>
        <v>1x/week</v>
      </c>
      <c r="D2" s="8">
        <f>Scenarios!E189</f>
        <v>0.8</v>
      </c>
      <c r="E2" s="9">
        <f>Scenarios!F189</f>
        <v>1E-3</v>
      </c>
      <c r="F2" s="9">
        <f>Scenarios!G189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201</v>
      </c>
      <c r="B2" s="8" t="str">
        <f>Scenarios!C190</f>
        <v>All teachers + 5-12 year olds</v>
      </c>
      <c r="C2" s="8" t="str">
        <f>Scenarios!D190</f>
        <v>1x/week</v>
      </c>
      <c r="D2" s="8">
        <f>Scenarios!E190</f>
        <v>0.8</v>
      </c>
      <c r="E2" s="9">
        <f>Scenarios!F190</f>
        <v>0.01</v>
      </c>
      <c r="F2" s="9">
        <f>Scenarios!G190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202</v>
      </c>
      <c r="B2" s="8" t="str">
        <f>Scenarios!C191</f>
        <v>All teachers + 5-12 year olds</v>
      </c>
      <c r="C2" s="8" t="str">
        <f>Scenarios!D191</f>
        <v>1x/week</v>
      </c>
      <c r="D2" s="8">
        <f>Scenarios!E191</f>
        <v>1.2</v>
      </c>
      <c r="E2" s="9">
        <f>Scenarios!F191</f>
        <v>1E-3</v>
      </c>
      <c r="F2" s="9">
        <f>Scenarios!G191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203</v>
      </c>
      <c r="B2" s="8" t="str">
        <f>Scenarios!C192</f>
        <v>All teachers + 5-12 year olds</v>
      </c>
      <c r="C2" s="8" t="str">
        <f>Scenarios!D192</f>
        <v>1x/week</v>
      </c>
      <c r="D2" s="8">
        <f>Scenarios!E192</f>
        <v>2</v>
      </c>
      <c r="E2" s="9">
        <f>Scenarios!F192</f>
        <v>1E-3</v>
      </c>
      <c r="F2" s="9">
        <f>Scenarios!G192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204</v>
      </c>
      <c r="B2" s="8" t="str">
        <f>Scenarios!C193</f>
        <v>All teachers + 5-12 year olds</v>
      </c>
      <c r="C2" s="8" t="str">
        <f>Scenarios!D193</f>
        <v>1x/week</v>
      </c>
      <c r="D2" s="8">
        <f>Scenarios!E193</f>
        <v>2</v>
      </c>
      <c r="E2" s="9">
        <f>Scenarios!F193</f>
        <v>0.01</v>
      </c>
      <c r="F2" s="9">
        <f>Scenarios!G193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205</v>
      </c>
      <c r="B2" s="8" t="str">
        <f>Scenarios!C194</f>
        <v>All teachers + 5-12 year olds</v>
      </c>
      <c r="C2" s="8" t="str">
        <f>Scenarios!D194</f>
        <v>1x/week</v>
      </c>
      <c r="D2" s="8">
        <f>Scenarios!E194</f>
        <v>2</v>
      </c>
      <c r="E2" s="9">
        <f>Scenarios!F194</f>
        <v>0.01</v>
      </c>
      <c r="F2" s="9">
        <f>Scenarios!G194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206</v>
      </c>
      <c r="B2" s="8" t="str">
        <f>Scenarios!C195</f>
        <v>All teachers + 5-12 year olds</v>
      </c>
      <c r="C2" s="8" t="str">
        <f>Scenarios!D195</f>
        <v>2x/week</v>
      </c>
      <c r="D2" s="8">
        <f>Scenarios!E195</f>
        <v>0.8</v>
      </c>
      <c r="E2" s="9">
        <f>Scenarios!F195</f>
        <v>1E-3</v>
      </c>
      <c r="F2" s="9">
        <f>Scenarios!G195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207</v>
      </c>
      <c r="B2" s="8" t="str">
        <f>Scenarios!C196</f>
        <v>All teachers + 5-12 year olds</v>
      </c>
      <c r="C2" s="8" t="str">
        <f>Scenarios!D196</f>
        <v>2x/week</v>
      </c>
      <c r="D2" s="8">
        <f>Scenarios!E196</f>
        <v>0.8</v>
      </c>
      <c r="E2" s="9">
        <f>Scenarios!F196</f>
        <v>0.01</v>
      </c>
      <c r="F2" s="9">
        <f>Scenarios!G196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208</v>
      </c>
      <c r="B2" s="8" t="str">
        <f>Scenarios!C197</f>
        <v>All teachers + 5-12 year olds</v>
      </c>
      <c r="C2" s="8" t="str">
        <f>Scenarios!D197</f>
        <v>2x/week</v>
      </c>
      <c r="D2" s="8">
        <f>Scenarios!E197</f>
        <v>1.2</v>
      </c>
      <c r="E2" s="9">
        <f>Scenarios!F197</f>
        <v>1E-3</v>
      </c>
      <c r="F2" s="9">
        <f>Scenarios!G197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209</v>
      </c>
      <c r="B2" s="8" t="str">
        <f>Scenarios!C198</f>
        <v>All teachers + 5-12 year olds</v>
      </c>
      <c r="C2" s="8" t="str">
        <f>Scenarios!D198</f>
        <v>2x/week</v>
      </c>
      <c r="D2" s="8">
        <f>Scenarios!E198</f>
        <v>2</v>
      </c>
      <c r="E2" s="9">
        <f>Scenarios!F198</f>
        <v>1E-3</v>
      </c>
      <c r="F2" s="9">
        <f>Scenarios!G198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210</v>
      </c>
      <c r="B2" s="8" t="str">
        <f>Scenarios!C199</f>
        <v>All teachers + 5-12 year olds</v>
      </c>
      <c r="C2" s="8" t="str">
        <f>Scenarios!D199</f>
        <v>2x/week</v>
      </c>
      <c r="D2" s="8">
        <f>Scenarios!E199</f>
        <v>2</v>
      </c>
      <c r="E2" s="9">
        <f>Scenarios!F199</f>
        <v>0.01</v>
      </c>
      <c r="F2" s="9">
        <f>Scenarios!G199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211</v>
      </c>
      <c r="B2" s="8" t="str">
        <f>Scenarios!C200</f>
        <v>All teachers + 5-12 year olds</v>
      </c>
      <c r="C2" s="8" t="str">
        <f>Scenarios!D200</f>
        <v>2x/week</v>
      </c>
      <c r="D2" s="8">
        <f>Scenarios!E200</f>
        <v>2</v>
      </c>
      <c r="E2" s="9">
        <f>Scenarios!F200</f>
        <v>0.01</v>
      </c>
      <c r="F2" s="9">
        <f>Scenarios!G200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212</v>
      </c>
      <c r="B2" s="8" t="str">
        <f>Scenarios!C201</f>
        <v>All teachers + all students</v>
      </c>
      <c r="C2" s="8" t="str">
        <f>Scenarios!D201</f>
        <v>1x/2 weeks</v>
      </c>
      <c r="D2" s="8">
        <f>Scenarios!E201</f>
        <v>0.8</v>
      </c>
      <c r="E2" s="9">
        <f>Scenarios!F201</f>
        <v>1E-3</v>
      </c>
      <c r="F2" s="9">
        <f>Scenarios!G201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213</v>
      </c>
      <c r="B2" s="8" t="str">
        <f>Scenarios!C202</f>
        <v>All teachers + all students</v>
      </c>
      <c r="C2" s="8" t="str">
        <f>Scenarios!D202</f>
        <v>1x/2 weeks</v>
      </c>
      <c r="D2" s="8">
        <f>Scenarios!E202</f>
        <v>0.8</v>
      </c>
      <c r="E2" s="9">
        <f>Scenarios!F202</f>
        <v>0.01</v>
      </c>
      <c r="F2" s="9">
        <f>Scenarios!G202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214</v>
      </c>
      <c r="B2" s="8" t="str">
        <f>Scenarios!C203</f>
        <v>All teachers + all students</v>
      </c>
      <c r="C2" s="8" t="str">
        <f>Scenarios!D203</f>
        <v>1x/2 weeks</v>
      </c>
      <c r="D2" s="8">
        <f>Scenarios!E203</f>
        <v>1.2</v>
      </c>
      <c r="E2" s="9">
        <f>Scenarios!F203</f>
        <v>1E-3</v>
      </c>
      <c r="F2" s="9">
        <f>Scenarios!G203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215</v>
      </c>
      <c r="B2" s="8" t="str">
        <f>Scenarios!C204</f>
        <v>All teachers + all students</v>
      </c>
      <c r="C2" s="8" t="str">
        <f>Scenarios!D204</f>
        <v>1x/2 weeks</v>
      </c>
      <c r="D2" s="8">
        <f>Scenarios!E204</f>
        <v>2</v>
      </c>
      <c r="E2" s="9">
        <f>Scenarios!F204</f>
        <v>1E-3</v>
      </c>
      <c r="F2" s="9">
        <f>Scenarios!G204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216</v>
      </c>
      <c r="B2" s="8" t="str">
        <f>Scenarios!C205</f>
        <v>All teachers + all students</v>
      </c>
      <c r="C2" s="8" t="str">
        <f>Scenarios!D205</f>
        <v>1x/2 weeks</v>
      </c>
      <c r="D2" s="8">
        <f>Scenarios!E205</f>
        <v>2</v>
      </c>
      <c r="E2" s="9">
        <f>Scenarios!F205</f>
        <v>0.01</v>
      </c>
      <c r="F2" s="9">
        <f>Scenarios!G205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217</v>
      </c>
      <c r="B2" s="8" t="str">
        <f>Scenarios!C206</f>
        <v>All teachers + all students</v>
      </c>
      <c r="C2" s="8" t="str">
        <f>Scenarios!D206</f>
        <v>1x/2 weeks</v>
      </c>
      <c r="D2" s="8">
        <f>Scenarios!E206</f>
        <v>2</v>
      </c>
      <c r="E2" s="9">
        <f>Scenarios!F206</f>
        <v>0.01</v>
      </c>
      <c r="F2" s="9">
        <f>Scenarios!G206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218</v>
      </c>
      <c r="B2" s="8" t="str">
        <f>Scenarios!C207</f>
        <v>All teachers + all students</v>
      </c>
      <c r="C2" s="8" t="str">
        <f>Scenarios!D207</f>
        <v>1x/week</v>
      </c>
      <c r="D2" s="8">
        <f>Scenarios!E207</f>
        <v>0.8</v>
      </c>
      <c r="E2" s="9">
        <f>Scenarios!F207</f>
        <v>1E-3</v>
      </c>
      <c r="F2" s="9">
        <f>Scenarios!G207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219</v>
      </c>
      <c r="B2" s="8" t="str">
        <f>Scenarios!C208</f>
        <v>All teachers + all students</v>
      </c>
      <c r="C2" s="8" t="str">
        <f>Scenarios!D208</f>
        <v>1x/week</v>
      </c>
      <c r="D2" s="8">
        <f>Scenarios!E208</f>
        <v>0.8</v>
      </c>
      <c r="E2" s="9">
        <f>Scenarios!F208</f>
        <v>0.01</v>
      </c>
      <c r="F2" s="9">
        <f>Scenarios!G208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8"/>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220</v>
      </c>
      <c r="B2" s="8" t="str">
        <f>Scenarios!C209</f>
        <v>All teachers + all students</v>
      </c>
      <c r="C2" s="8" t="str">
        <f>Scenarios!D209</f>
        <v>1x/week</v>
      </c>
      <c r="D2" s="8">
        <f>Scenarios!E209</f>
        <v>1.2</v>
      </c>
      <c r="E2" s="9">
        <f>Scenarios!F209</f>
        <v>1E-3</v>
      </c>
      <c r="F2" s="9">
        <f>Scenarios!G209</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9"/>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221</v>
      </c>
      <c r="B2" s="8" t="str">
        <f>Scenarios!C210</f>
        <v>All teachers + all students</v>
      </c>
      <c r="C2" s="8" t="str">
        <f>Scenarios!D210</f>
        <v>1x/week</v>
      </c>
      <c r="D2" s="8">
        <f>Scenarios!E210</f>
        <v>2</v>
      </c>
      <c r="E2" s="9">
        <f>Scenarios!F210</f>
        <v>1E-3</v>
      </c>
      <c r="F2" s="9">
        <f>Scenarios!G210</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222</v>
      </c>
      <c r="B2" s="8" t="str">
        <f>Scenarios!C211</f>
        <v>All teachers + all students</v>
      </c>
      <c r="C2" s="8" t="str">
        <f>Scenarios!D211</f>
        <v>1x/week</v>
      </c>
      <c r="D2" s="8">
        <f>Scenarios!E211</f>
        <v>2</v>
      </c>
      <c r="E2" s="9">
        <f>Scenarios!F211</f>
        <v>0.01</v>
      </c>
      <c r="F2" s="9">
        <f>Scenarios!G211</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223</v>
      </c>
      <c r="B2" s="8" t="str">
        <f>Scenarios!C212</f>
        <v>All teachers + all students</v>
      </c>
      <c r="C2" s="8" t="str">
        <f>Scenarios!D212</f>
        <v>1x/week</v>
      </c>
      <c r="D2" s="8">
        <f>Scenarios!E212</f>
        <v>2</v>
      </c>
      <c r="E2" s="9">
        <f>Scenarios!F212</f>
        <v>0.01</v>
      </c>
      <c r="F2" s="9">
        <f>Scenarios!G212</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2"/>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224</v>
      </c>
      <c r="B2" s="8" t="str">
        <f>Scenarios!C213</f>
        <v>All teachers + all students</v>
      </c>
      <c r="C2" s="8" t="str">
        <f>Scenarios!D213</f>
        <v>2x/week</v>
      </c>
      <c r="D2" s="8">
        <f>Scenarios!E213</f>
        <v>0.8</v>
      </c>
      <c r="E2" s="9">
        <f>Scenarios!F213</f>
        <v>1E-3</v>
      </c>
      <c r="F2" s="9">
        <f>Scenarios!G213</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3"/>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225</v>
      </c>
      <c r="B2" s="8" t="str">
        <f>Scenarios!C214</f>
        <v>All teachers + all students</v>
      </c>
      <c r="C2" s="8" t="str">
        <f>Scenarios!D214</f>
        <v>2x/week</v>
      </c>
      <c r="D2" s="8">
        <f>Scenarios!E214</f>
        <v>0.8</v>
      </c>
      <c r="E2" s="9">
        <f>Scenarios!F214</f>
        <v>0.01</v>
      </c>
      <c r="F2" s="9">
        <f>Scenarios!G214</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4"/>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226</v>
      </c>
      <c r="B2" s="8" t="str">
        <f>Scenarios!C215</f>
        <v>All teachers + all students</v>
      </c>
      <c r="C2" s="8" t="str">
        <f>Scenarios!D215</f>
        <v>2x/week</v>
      </c>
      <c r="D2" s="8">
        <f>Scenarios!E215</f>
        <v>1.2</v>
      </c>
      <c r="E2" s="9">
        <f>Scenarios!F215</f>
        <v>1E-3</v>
      </c>
      <c r="F2" s="9">
        <f>Scenarios!G215</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5"/>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227</v>
      </c>
      <c r="B2" s="8" t="str">
        <f>Scenarios!C216</f>
        <v>All teachers + all students</v>
      </c>
      <c r="C2" s="8" t="str">
        <f>Scenarios!D216</f>
        <v>2x/week</v>
      </c>
      <c r="D2" s="8">
        <f>Scenarios!E216</f>
        <v>2</v>
      </c>
      <c r="E2" s="9">
        <f>Scenarios!F216</f>
        <v>1E-3</v>
      </c>
      <c r="F2" s="9">
        <f>Scenarios!G216</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6"/>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228</v>
      </c>
      <c r="B2" s="8" t="str">
        <f>Scenarios!C217</f>
        <v>All teachers + all students</v>
      </c>
      <c r="C2" s="8" t="str">
        <f>Scenarios!D217</f>
        <v>2x/week</v>
      </c>
      <c r="D2" s="8">
        <f>Scenarios!E217</f>
        <v>2</v>
      </c>
      <c r="E2" s="9">
        <f>Scenarios!F217</f>
        <v>0.01</v>
      </c>
      <c r="F2" s="9">
        <f>Scenarios!G217</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7"/>
  <dimension ref="A1:P94"/>
  <sheetViews>
    <sheetView workbookViewId="0">
      <selection activeCell="C14" sqref="C14"/>
    </sheetView>
  </sheetViews>
  <sheetFormatPr defaultColWidth="11" defaultRowHeight="15.75" x14ac:dyDescent="0.25"/>
  <cols>
    <col min="1" max="1" width="14.875" bestFit="1" customWidth="1"/>
    <col min="2" max="2" width="25.625" customWidth="1"/>
    <col min="3" max="3" width="30.625" customWidth="1"/>
    <col min="4" max="4" width="33.125" customWidth="1"/>
    <col min="5" max="5" width="31.5" customWidth="1"/>
    <col min="6" max="6" width="21.125" customWidth="1"/>
  </cols>
  <sheetData>
    <row r="1" spans="1:16" x14ac:dyDescent="0.25">
      <c r="A1" s="6"/>
      <c r="B1" s="7" t="str">
        <f>Scenarios!C2</f>
        <v>Population targeted (All teachers, teachers + 5-12, teachers + 13-18, teachers +all students</v>
      </c>
      <c r="C1" s="7" t="str">
        <f>Scenarios!D2</f>
        <v>Frequency (2x/week, 1x/week, 1x/2 weeks)</v>
      </c>
      <c r="D1" s="7" t="str">
        <f>Scenarios!E2</f>
        <v>Rt (0.8, 1.2, 2.0)</v>
      </c>
      <c r="E1" s="7" t="str">
        <f>Scenarios!F2</f>
        <v>Community Prevalence (0.1%, 1%)</v>
      </c>
      <c r="F1" s="7" t="str">
        <f>Scenarios!G2</f>
        <v>Test effectiveness (20%, 50%, 80%)</v>
      </c>
    </row>
    <row r="2" spans="1:16" x14ac:dyDescent="0.25">
      <c r="A2" s="1" t="s">
        <v>229</v>
      </c>
      <c r="B2" s="8" t="str">
        <f>Scenarios!C218</f>
        <v>All teachers + all students</v>
      </c>
      <c r="C2" s="8" t="str">
        <f>Scenarios!D218</f>
        <v>2x/week</v>
      </c>
      <c r="D2" s="8">
        <f>Scenarios!E218</f>
        <v>2</v>
      </c>
      <c r="E2" s="9">
        <f>Scenarios!F218</f>
        <v>0.01</v>
      </c>
      <c r="F2" s="9">
        <f>Scenarios!G218</f>
        <v>0.8</v>
      </c>
    </row>
    <row r="3" spans="1:16" x14ac:dyDescent="0.25">
      <c r="B3" s="22"/>
      <c r="C3" s="22" t="s">
        <v>231</v>
      </c>
      <c r="D3" s="22"/>
      <c r="E3" s="20"/>
      <c r="F3" s="21" t="s">
        <v>237</v>
      </c>
      <c r="G3" s="20"/>
      <c r="H3" s="18"/>
      <c r="I3" s="19" t="s">
        <v>238</v>
      </c>
      <c r="J3" s="18"/>
      <c r="K3" s="27"/>
      <c r="L3" s="28" t="s">
        <v>235</v>
      </c>
      <c r="M3" s="27"/>
      <c r="N3" s="24"/>
      <c r="O3" s="30"/>
      <c r="P3" s="24"/>
    </row>
    <row r="4" spans="1:16" ht="47.25" x14ac:dyDescent="0.25">
      <c r="A4" t="s">
        <v>0</v>
      </c>
      <c r="B4" s="15" t="s">
        <v>233</v>
      </c>
      <c r="C4" s="15" t="s">
        <v>232</v>
      </c>
      <c r="D4" s="10" t="s">
        <v>234</v>
      </c>
      <c r="E4" s="16" t="s">
        <v>233</v>
      </c>
      <c r="F4" s="16" t="s">
        <v>232</v>
      </c>
      <c r="G4" s="13" t="s">
        <v>234</v>
      </c>
      <c r="H4" s="17" t="s">
        <v>233</v>
      </c>
      <c r="I4" s="17" t="s">
        <v>232</v>
      </c>
      <c r="J4" s="14" t="s">
        <v>234</v>
      </c>
      <c r="K4" s="25" t="s">
        <v>233</v>
      </c>
      <c r="L4" s="25" t="s">
        <v>232</v>
      </c>
      <c r="M4" s="26" t="s">
        <v>234</v>
      </c>
      <c r="N4" s="23"/>
      <c r="O4" s="23"/>
      <c r="P4" s="24"/>
    </row>
    <row r="5" spans="1:16" x14ac:dyDescent="0.25">
      <c r="A5">
        <v>1</v>
      </c>
    </row>
    <row r="6" spans="1:16" x14ac:dyDescent="0.25">
      <c r="A6">
        <v>2</v>
      </c>
    </row>
    <row r="7" spans="1:16" x14ac:dyDescent="0.25">
      <c r="A7">
        <f>A6+1</f>
        <v>3</v>
      </c>
    </row>
    <row r="8" spans="1:16" x14ac:dyDescent="0.25">
      <c r="A8">
        <f t="shared" ref="A8:A71" si="0">A7+1</f>
        <v>4</v>
      </c>
    </row>
    <row r="9" spans="1:16" x14ac:dyDescent="0.25">
      <c r="A9">
        <f t="shared" si="0"/>
        <v>5</v>
      </c>
    </row>
    <row r="10" spans="1:16" x14ac:dyDescent="0.25">
      <c r="A10">
        <f t="shared" si="0"/>
        <v>6</v>
      </c>
    </row>
    <row r="11" spans="1:16" x14ac:dyDescent="0.25">
      <c r="A11">
        <f t="shared" si="0"/>
        <v>7</v>
      </c>
    </row>
    <row r="12" spans="1:16" x14ac:dyDescent="0.25">
      <c r="A12">
        <f t="shared" si="0"/>
        <v>8</v>
      </c>
    </row>
    <row r="13" spans="1:16" x14ac:dyDescent="0.25">
      <c r="A13">
        <f t="shared" si="0"/>
        <v>9</v>
      </c>
    </row>
    <row r="14" spans="1:16" x14ac:dyDescent="0.25">
      <c r="A14">
        <f t="shared" si="0"/>
        <v>10</v>
      </c>
    </row>
    <row r="15" spans="1:16" x14ac:dyDescent="0.25">
      <c r="A15">
        <f t="shared" si="0"/>
        <v>11</v>
      </c>
    </row>
    <row r="16" spans="1:16" x14ac:dyDescent="0.25">
      <c r="A16">
        <f t="shared" si="0"/>
        <v>12</v>
      </c>
    </row>
    <row r="17" spans="1:1" x14ac:dyDescent="0.25">
      <c r="A17">
        <f t="shared" si="0"/>
        <v>13</v>
      </c>
    </row>
    <row r="18" spans="1:1" x14ac:dyDescent="0.25">
      <c r="A18">
        <f t="shared" si="0"/>
        <v>14</v>
      </c>
    </row>
    <row r="19" spans="1:1" x14ac:dyDescent="0.25">
      <c r="A19">
        <f t="shared" si="0"/>
        <v>15</v>
      </c>
    </row>
    <row r="20" spans="1:1" x14ac:dyDescent="0.25">
      <c r="A20">
        <f t="shared" si="0"/>
        <v>16</v>
      </c>
    </row>
    <row r="21" spans="1:1" x14ac:dyDescent="0.25">
      <c r="A21">
        <f t="shared" si="0"/>
        <v>17</v>
      </c>
    </row>
    <row r="22" spans="1:1" x14ac:dyDescent="0.25">
      <c r="A22">
        <f t="shared" si="0"/>
        <v>18</v>
      </c>
    </row>
    <row r="23" spans="1:1" x14ac:dyDescent="0.25">
      <c r="A23">
        <f t="shared" si="0"/>
        <v>19</v>
      </c>
    </row>
    <row r="24" spans="1:1" x14ac:dyDescent="0.25">
      <c r="A24">
        <f t="shared" si="0"/>
        <v>20</v>
      </c>
    </row>
    <row r="25" spans="1:1" x14ac:dyDescent="0.25">
      <c r="A25">
        <f t="shared" si="0"/>
        <v>21</v>
      </c>
    </row>
    <row r="26" spans="1:1" x14ac:dyDescent="0.25">
      <c r="A26">
        <f t="shared" si="0"/>
        <v>22</v>
      </c>
    </row>
    <row r="27" spans="1:1" x14ac:dyDescent="0.25">
      <c r="A27">
        <f t="shared" si="0"/>
        <v>23</v>
      </c>
    </row>
    <row r="28" spans="1:1" x14ac:dyDescent="0.25">
      <c r="A28">
        <f t="shared" si="0"/>
        <v>24</v>
      </c>
    </row>
    <row r="29" spans="1:1" x14ac:dyDescent="0.25">
      <c r="A29">
        <f t="shared" si="0"/>
        <v>25</v>
      </c>
    </row>
    <row r="30" spans="1:1" x14ac:dyDescent="0.25">
      <c r="A30">
        <f t="shared" si="0"/>
        <v>26</v>
      </c>
    </row>
    <row r="31" spans="1:1" x14ac:dyDescent="0.25">
      <c r="A31">
        <f t="shared" si="0"/>
        <v>27</v>
      </c>
    </row>
    <row r="32" spans="1:1" x14ac:dyDescent="0.25">
      <c r="A32">
        <f t="shared" si="0"/>
        <v>28</v>
      </c>
    </row>
    <row r="33" spans="1:1" x14ac:dyDescent="0.25">
      <c r="A33">
        <f t="shared" si="0"/>
        <v>29</v>
      </c>
    </row>
    <row r="34" spans="1:1" x14ac:dyDescent="0.25">
      <c r="A34">
        <f t="shared" si="0"/>
        <v>30</v>
      </c>
    </row>
    <row r="35" spans="1:1" x14ac:dyDescent="0.25">
      <c r="A35">
        <f t="shared" si="0"/>
        <v>31</v>
      </c>
    </row>
    <row r="36" spans="1:1" x14ac:dyDescent="0.25">
      <c r="A36">
        <f t="shared" si="0"/>
        <v>32</v>
      </c>
    </row>
    <row r="37" spans="1:1" x14ac:dyDescent="0.25">
      <c r="A37">
        <f t="shared" si="0"/>
        <v>33</v>
      </c>
    </row>
    <row r="38" spans="1:1" x14ac:dyDescent="0.25">
      <c r="A38">
        <f t="shared" si="0"/>
        <v>34</v>
      </c>
    </row>
    <row r="39" spans="1:1" x14ac:dyDescent="0.25">
      <c r="A39">
        <f t="shared" si="0"/>
        <v>35</v>
      </c>
    </row>
    <row r="40" spans="1:1" x14ac:dyDescent="0.25">
      <c r="A40">
        <f t="shared" si="0"/>
        <v>36</v>
      </c>
    </row>
    <row r="41" spans="1:1" x14ac:dyDescent="0.25">
      <c r="A41">
        <f t="shared" si="0"/>
        <v>37</v>
      </c>
    </row>
    <row r="42" spans="1:1" x14ac:dyDescent="0.25">
      <c r="A42">
        <f t="shared" si="0"/>
        <v>38</v>
      </c>
    </row>
    <row r="43" spans="1:1" x14ac:dyDescent="0.25">
      <c r="A43">
        <f t="shared" si="0"/>
        <v>39</v>
      </c>
    </row>
    <row r="44" spans="1:1" x14ac:dyDescent="0.25">
      <c r="A44">
        <f t="shared" si="0"/>
        <v>40</v>
      </c>
    </row>
    <row r="45" spans="1:1" x14ac:dyDescent="0.25">
      <c r="A45">
        <f t="shared" si="0"/>
        <v>41</v>
      </c>
    </row>
    <row r="46" spans="1:1" x14ac:dyDescent="0.25">
      <c r="A46">
        <f t="shared" si="0"/>
        <v>42</v>
      </c>
    </row>
    <row r="47" spans="1:1" x14ac:dyDescent="0.25">
      <c r="A47">
        <f t="shared" si="0"/>
        <v>43</v>
      </c>
    </row>
    <row r="48" spans="1:1" x14ac:dyDescent="0.25">
      <c r="A48">
        <f t="shared" si="0"/>
        <v>44</v>
      </c>
    </row>
    <row r="49" spans="1:1" x14ac:dyDescent="0.25">
      <c r="A49">
        <f t="shared" si="0"/>
        <v>45</v>
      </c>
    </row>
    <row r="50" spans="1:1" x14ac:dyDescent="0.25">
      <c r="A50">
        <f t="shared" si="0"/>
        <v>46</v>
      </c>
    </row>
    <row r="51" spans="1:1" x14ac:dyDescent="0.25">
      <c r="A51">
        <f t="shared" si="0"/>
        <v>47</v>
      </c>
    </row>
    <row r="52" spans="1:1" x14ac:dyDescent="0.25">
      <c r="A52">
        <f t="shared" si="0"/>
        <v>48</v>
      </c>
    </row>
    <row r="53" spans="1:1" x14ac:dyDescent="0.25">
      <c r="A53">
        <f t="shared" si="0"/>
        <v>49</v>
      </c>
    </row>
    <row r="54" spans="1:1" x14ac:dyDescent="0.25">
      <c r="A54">
        <f t="shared" si="0"/>
        <v>50</v>
      </c>
    </row>
    <row r="55" spans="1:1" x14ac:dyDescent="0.25">
      <c r="A55">
        <f t="shared" si="0"/>
        <v>51</v>
      </c>
    </row>
    <row r="56" spans="1:1" x14ac:dyDescent="0.25">
      <c r="A56">
        <f t="shared" si="0"/>
        <v>52</v>
      </c>
    </row>
    <row r="57" spans="1:1" x14ac:dyDescent="0.25">
      <c r="A57">
        <f t="shared" si="0"/>
        <v>53</v>
      </c>
    </row>
    <row r="58" spans="1:1" x14ac:dyDescent="0.25">
      <c r="A58">
        <f t="shared" si="0"/>
        <v>54</v>
      </c>
    </row>
    <row r="59" spans="1:1" x14ac:dyDescent="0.25">
      <c r="A59">
        <f t="shared" si="0"/>
        <v>55</v>
      </c>
    </row>
    <row r="60" spans="1:1" x14ac:dyDescent="0.25">
      <c r="A60">
        <f t="shared" si="0"/>
        <v>56</v>
      </c>
    </row>
    <row r="61" spans="1:1" x14ac:dyDescent="0.25">
      <c r="A61">
        <f t="shared" si="0"/>
        <v>57</v>
      </c>
    </row>
    <row r="62" spans="1:1" x14ac:dyDescent="0.25">
      <c r="A62">
        <f t="shared" si="0"/>
        <v>58</v>
      </c>
    </row>
    <row r="63" spans="1:1" x14ac:dyDescent="0.25">
      <c r="A63">
        <f t="shared" si="0"/>
        <v>59</v>
      </c>
    </row>
    <row r="64" spans="1:1" x14ac:dyDescent="0.25">
      <c r="A64">
        <f t="shared" si="0"/>
        <v>60</v>
      </c>
    </row>
    <row r="65" spans="1:1" x14ac:dyDescent="0.25">
      <c r="A65">
        <f t="shared" si="0"/>
        <v>61</v>
      </c>
    </row>
    <row r="66" spans="1:1" x14ac:dyDescent="0.25">
      <c r="A66">
        <f t="shared" si="0"/>
        <v>62</v>
      </c>
    </row>
    <row r="67" spans="1:1" x14ac:dyDescent="0.25">
      <c r="A67">
        <f t="shared" si="0"/>
        <v>63</v>
      </c>
    </row>
    <row r="68" spans="1:1" x14ac:dyDescent="0.25">
      <c r="A68">
        <f t="shared" si="0"/>
        <v>64</v>
      </c>
    </row>
    <row r="69" spans="1:1" x14ac:dyDescent="0.25">
      <c r="A69">
        <f t="shared" si="0"/>
        <v>65</v>
      </c>
    </row>
    <row r="70" spans="1:1" x14ac:dyDescent="0.25">
      <c r="A70">
        <f t="shared" si="0"/>
        <v>66</v>
      </c>
    </row>
    <row r="71" spans="1:1" x14ac:dyDescent="0.25">
      <c r="A71">
        <f t="shared" si="0"/>
        <v>67</v>
      </c>
    </row>
    <row r="72" spans="1:1" x14ac:dyDescent="0.25">
      <c r="A72">
        <f t="shared" ref="A72:A91" si="1">A71+1</f>
        <v>68</v>
      </c>
    </row>
    <row r="73" spans="1:1" x14ac:dyDescent="0.25">
      <c r="A73">
        <f t="shared" si="1"/>
        <v>69</v>
      </c>
    </row>
    <row r="74" spans="1:1" x14ac:dyDescent="0.25">
      <c r="A74">
        <f t="shared" si="1"/>
        <v>70</v>
      </c>
    </row>
    <row r="75" spans="1:1" x14ac:dyDescent="0.25">
      <c r="A75">
        <f t="shared" si="1"/>
        <v>71</v>
      </c>
    </row>
    <row r="76" spans="1:1" x14ac:dyDescent="0.25">
      <c r="A76">
        <f t="shared" si="1"/>
        <v>72</v>
      </c>
    </row>
    <row r="77" spans="1:1" x14ac:dyDescent="0.25">
      <c r="A77">
        <f t="shared" si="1"/>
        <v>73</v>
      </c>
    </row>
    <row r="78" spans="1:1" x14ac:dyDescent="0.25">
      <c r="A78">
        <f t="shared" si="1"/>
        <v>74</v>
      </c>
    </row>
    <row r="79" spans="1:1" x14ac:dyDescent="0.25">
      <c r="A79">
        <f t="shared" si="1"/>
        <v>75</v>
      </c>
    </row>
    <row r="80" spans="1:1" x14ac:dyDescent="0.25">
      <c r="A80">
        <f t="shared" si="1"/>
        <v>76</v>
      </c>
    </row>
    <row r="81" spans="1:1" x14ac:dyDescent="0.25">
      <c r="A81">
        <f t="shared" si="1"/>
        <v>77</v>
      </c>
    </row>
    <row r="82" spans="1:1" x14ac:dyDescent="0.25">
      <c r="A82">
        <f t="shared" si="1"/>
        <v>78</v>
      </c>
    </row>
    <row r="83" spans="1:1" x14ac:dyDescent="0.25">
      <c r="A83">
        <f t="shared" si="1"/>
        <v>79</v>
      </c>
    </row>
    <row r="84" spans="1:1" x14ac:dyDescent="0.25">
      <c r="A84">
        <f t="shared" si="1"/>
        <v>80</v>
      </c>
    </row>
    <row r="85" spans="1:1" x14ac:dyDescent="0.25">
      <c r="A85">
        <f t="shared" si="1"/>
        <v>81</v>
      </c>
    </row>
    <row r="86" spans="1:1" x14ac:dyDescent="0.25">
      <c r="A86">
        <f t="shared" si="1"/>
        <v>82</v>
      </c>
    </row>
    <row r="87" spans="1:1" x14ac:dyDescent="0.25">
      <c r="A87">
        <f t="shared" si="1"/>
        <v>83</v>
      </c>
    </row>
    <row r="88" spans="1:1" x14ac:dyDescent="0.25">
      <c r="A88">
        <f t="shared" si="1"/>
        <v>84</v>
      </c>
    </row>
    <row r="89" spans="1:1" x14ac:dyDescent="0.25">
      <c r="A89">
        <f t="shared" si="1"/>
        <v>85</v>
      </c>
    </row>
    <row r="90" spans="1:1" x14ac:dyDescent="0.25">
      <c r="A90">
        <f t="shared" si="1"/>
        <v>86</v>
      </c>
    </row>
    <row r="91" spans="1:1" x14ac:dyDescent="0.25">
      <c r="A91">
        <f t="shared" si="1"/>
        <v>87</v>
      </c>
    </row>
    <row r="92" spans="1:1" x14ac:dyDescent="0.25">
      <c r="A92">
        <v>88</v>
      </c>
    </row>
    <row r="93" spans="1:1" x14ac:dyDescent="0.25">
      <c r="A93">
        <v>89</v>
      </c>
    </row>
    <row r="94" spans="1:1" x14ac:dyDescent="0.25">
      <c r="A94">
        <v>90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217</vt:i4>
      </vt:variant>
    </vt:vector>
  </HeadingPairs>
  <TitlesOfParts>
    <vt:vector size="217" baseType="lpstr">
      <vt:lpstr>Scenarios</vt:lpstr>
      <vt:lpstr>Scenario 1</vt:lpstr>
      <vt:lpstr>Scenario 2</vt:lpstr>
      <vt:lpstr>Scenario 3</vt:lpstr>
      <vt:lpstr>Scenario 4</vt:lpstr>
      <vt:lpstr>Scenario 5</vt:lpstr>
      <vt:lpstr>Scenario 6</vt:lpstr>
      <vt:lpstr>Scenario 7</vt:lpstr>
      <vt:lpstr>Scenario 8</vt:lpstr>
      <vt:lpstr>Scenario 9</vt:lpstr>
      <vt:lpstr>Scenario 10</vt:lpstr>
      <vt:lpstr>Scenario 11</vt:lpstr>
      <vt:lpstr>Scenario 12</vt:lpstr>
      <vt:lpstr>Scenario 13</vt:lpstr>
      <vt:lpstr>Scenario 14</vt:lpstr>
      <vt:lpstr>Scenario 15</vt:lpstr>
      <vt:lpstr>Scenario 16</vt:lpstr>
      <vt:lpstr>Scenario 17</vt:lpstr>
      <vt:lpstr>Scenario 18</vt:lpstr>
      <vt:lpstr>Scenario 19</vt:lpstr>
      <vt:lpstr>Scenario 20</vt:lpstr>
      <vt:lpstr>Scenario 21</vt:lpstr>
      <vt:lpstr>Scenario 22</vt:lpstr>
      <vt:lpstr>Scenario 23</vt:lpstr>
      <vt:lpstr>Scenario 24</vt:lpstr>
      <vt:lpstr>Scenario 25</vt:lpstr>
      <vt:lpstr>Scenario 26</vt:lpstr>
      <vt:lpstr>Scenario 27</vt:lpstr>
      <vt:lpstr>Scenario 28</vt:lpstr>
      <vt:lpstr>Scenario 29</vt:lpstr>
      <vt:lpstr>Scenario 30</vt:lpstr>
      <vt:lpstr>Scenario 31</vt:lpstr>
      <vt:lpstr>Scenario 32</vt:lpstr>
      <vt:lpstr>Scenario 33</vt:lpstr>
      <vt:lpstr>Scenario 34</vt:lpstr>
      <vt:lpstr>Scenario 35</vt:lpstr>
      <vt:lpstr>Scenario 36</vt:lpstr>
      <vt:lpstr>Scenario 37</vt:lpstr>
      <vt:lpstr>Scenario 38</vt:lpstr>
      <vt:lpstr>Scenario 39</vt:lpstr>
      <vt:lpstr>Scenario 40</vt:lpstr>
      <vt:lpstr>Scenario 41</vt:lpstr>
      <vt:lpstr>Scenario 42</vt:lpstr>
      <vt:lpstr>Scenario 43</vt:lpstr>
      <vt:lpstr>Scenario 44</vt:lpstr>
      <vt:lpstr>Scenario 45</vt:lpstr>
      <vt:lpstr>Scenario 46</vt:lpstr>
      <vt:lpstr>Scenario 47</vt:lpstr>
      <vt:lpstr>Scenario 48</vt:lpstr>
      <vt:lpstr>Scenario 49</vt:lpstr>
      <vt:lpstr>Scenario 50</vt:lpstr>
      <vt:lpstr>Scenario 51</vt:lpstr>
      <vt:lpstr>Scenario 52</vt:lpstr>
      <vt:lpstr>Scenario 53</vt:lpstr>
      <vt:lpstr>Scenario 54</vt:lpstr>
      <vt:lpstr>Scenario 55</vt:lpstr>
      <vt:lpstr>Scenario 56</vt:lpstr>
      <vt:lpstr>Scenario 57</vt:lpstr>
      <vt:lpstr>Scenario 58</vt:lpstr>
      <vt:lpstr>Scenario 59</vt:lpstr>
      <vt:lpstr>Scenario 60</vt:lpstr>
      <vt:lpstr>Scenario 61</vt:lpstr>
      <vt:lpstr>Scenario 62</vt:lpstr>
      <vt:lpstr>Scenario 63</vt:lpstr>
      <vt:lpstr>Scenario 64</vt:lpstr>
      <vt:lpstr>Scenario 65</vt:lpstr>
      <vt:lpstr>Scenario 66</vt:lpstr>
      <vt:lpstr>Scenario 67</vt:lpstr>
      <vt:lpstr>Scenario 68</vt:lpstr>
      <vt:lpstr>Scenario 69</vt:lpstr>
      <vt:lpstr>Scenario 70</vt:lpstr>
      <vt:lpstr>Scenario 71</vt:lpstr>
      <vt:lpstr>Scenario 72</vt:lpstr>
      <vt:lpstr>Scenario 73</vt:lpstr>
      <vt:lpstr>Scenario 74</vt:lpstr>
      <vt:lpstr>Scenario 75</vt:lpstr>
      <vt:lpstr>Scenario 76</vt:lpstr>
      <vt:lpstr>Scenario 77</vt:lpstr>
      <vt:lpstr>Scenario 78</vt:lpstr>
      <vt:lpstr>Scenario 79</vt:lpstr>
      <vt:lpstr>Scenario 80</vt:lpstr>
      <vt:lpstr>Scenario 81</vt:lpstr>
      <vt:lpstr>Scenario 82</vt:lpstr>
      <vt:lpstr>Scenario 83</vt:lpstr>
      <vt:lpstr>Scenario 84</vt:lpstr>
      <vt:lpstr>Scenario 85</vt:lpstr>
      <vt:lpstr>Scenario 86</vt:lpstr>
      <vt:lpstr>Scenario 87</vt:lpstr>
      <vt:lpstr>Scenario 88</vt:lpstr>
      <vt:lpstr>Scenario 89</vt:lpstr>
      <vt:lpstr>Scenario 90</vt:lpstr>
      <vt:lpstr>Scenario 91</vt:lpstr>
      <vt:lpstr>Scenario 92</vt:lpstr>
      <vt:lpstr>Scenario 93</vt:lpstr>
      <vt:lpstr>Scenario 94</vt:lpstr>
      <vt:lpstr>Scenario 95</vt:lpstr>
      <vt:lpstr>Scenario 96</vt:lpstr>
      <vt:lpstr>Scenario 97</vt:lpstr>
      <vt:lpstr>Scenario 98</vt:lpstr>
      <vt:lpstr>Scenario 99</vt:lpstr>
      <vt:lpstr>Scenario 100</vt:lpstr>
      <vt:lpstr>Scenario 101</vt:lpstr>
      <vt:lpstr>Scenario 102</vt:lpstr>
      <vt:lpstr>Scenario 103</vt:lpstr>
      <vt:lpstr>Scenario 104</vt:lpstr>
      <vt:lpstr>Scenario 105</vt:lpstr>
      <vt:lpstr>Scenario 106</vt:lpstr>
      <vt:lpstr>Scenario 107</vt:lpstr>
      <vt:lpstr>Scenario 108</vt:lpstr>
      <vt:lpstr>Scenario 109</vt:lpstr>
      <vt:lpstr>Scenario 110</vt:lpstr>
      <vt:lpstr>Scenario 111</vt:lpstr>
      <vt:lpstr>Scenario 112</vt:lpstr>
      <vt:lpstr>Scenario 113</vt:lpstr>
      <vt:lpstr>Scenario 114</vt:lpstr>
      <vt:lpstr>Scenario 115</vt:lpstr>
      <vt:lpstr>Scenario 116</vt:lpstr>
      <vt:lpstr>Scenario 117</vt:lpstr>
      <vt:lpstr>Scenario 118</vt:lpstr>
      <vt:lpstr>Scenario 119</vt:lpstr>
      <vt:lpstr>Scenario 120</vt:lpstr>
      <vt:lpstr>Scenario 121</vt:lpstr>
      <vt:lpstr>Scenario 122</vt:lpstr>
      <vt:lpstr>Scenario 123</vt:lpstr>
      <vt:lpstr>Scenario 124</vt:lpstr>
      <vt:lpstr>Scenario 125</vt:lpstr>
      <vt:lpstr>Scenario 126</vt:lpstr>
      <vt:lpstr>Scenario 127</vt:lpstr>
      <vt:lpstr>Scenario 128</vt:lpstr>
      <vt:lpstr>Scenario 129</vt:lpstr>
      <vt:lpstr>Scenario 130</vt:lpstr>
      <vt:lpstr>Scenario 131</vt:lpstr>
      <vt:lpstr>Scenario 132</vt:lpstr>
      <vt:lpstr>Scenario 133</vt:lpstr>
      <vt:lpstr>Scenario 134</vt:lpstr>
      <vt:lpstr>Scenario 135</vt:lpstr>
      <vt:lpstr>Scenario 136</vt:lpstr>
      <vt:lpstr>Scenario 137</vt:lpstr>
      <vt:lpstr>Scenario 138</vt:lpstr>
      <vt:lpstr>Scenario 139</vt:lpstr>
      <vt:lpstr>Scenario 140</vt:lpstr>
      <vt:lpstr>Scenario 141</vt:lpstr>
      <vt:lpstr>Scenario 142</vt:lpstr>
      <vt:lpstr>Scenario 143</vt:lpstr>
      <vt:lpstr>Scenario 144</vt:lpstr>
      <vt:lpstr>Scenario 145</vt:lpstr>
      <vt:lpstr>Scenario 146</vt:lpstr>
      <vt:lpstr>Scenario 147</vt:lpstr>
      <vt:lpstr>Scenario 148</vt:lpstr>
      <vt:lpstr>Scenario 149</vt:lpstr>
      <vt:lpstr>Scenario 150</vt:lpstr>
      <vt:lpstr>Scenario 151</vt:lpstr>
      <vt:lpstr>Scenario 152</vt:lpstr>
      <vt:lpstr>Scenario 153</vt:lpstr>
      <vt:lpstr>Scenario 154</vt:lpstr>
      <vt:lpstr>Scenario 155</vt:lpstr>
      <vt:lpstr>Scenario 156</vt:lpstr>
      <vt:lpstr>Scenario 157</vt:lpstr>
      <vt:lpstr>Scenario 158</vt:lpstr>
      <vt:lpstr>Scenario 159</vt:lpstr>
      <vt:lpstr>Scenario 160</vt:lpstr>
      <vt:lpstr>Scenario 161</vt:lpstr>
      <vt:lpstr>Scenario 162</vt:lpstr>
      <vt:lpstr>Scenario 163</vt:lpstr>
      <vt:lpstr>Scenario 164</vt:lpstr>
      <vt:lpstr>Scenario 165</vt:lpstr>
      <vt:lpstr>Scenario 166</vt:lpstr>
      <vt:lpstr>Scenario 167</vt:lpstr>
      <vt:lpstr>Scenario 168</vt:lpstr>
      <vt:lpstr>Scenario 169</vt:lpstr>
      <vt:lpstr>Scenario 170</vt:lpstr>
      <vt:lpstr>Scenario 171</vt:lpstr>
      <vt:lpstr>Scenario 172</vt:lpstr>
      <vt:lpstr>Scenario 173</vt:lpstr>
      <vt:lpstr>Scenario 174</vt:lpstr>
      <vt:lpstr>Scenario 175</vt:lpstr>
      <vt:lpstr>Scenario 176</vt:lpstr>
      <vt:lpstr>Scenario 177</vt:lpstr>
      <vt:lpstr>Scenario 178</vt:lpstr>
      <vt:lpstr>Scenario 179</vt:lpstr>
      <vt:lpstr>Scenario 180</vt:lpstr>
      <vt:lpstr>Scenario 181</vt:lpstr>
      <vt:lpstr>Scenario 182</vt:lpstr>
      <vt:lpstr>Scenario 183</vt:lpstr>
      <vt:lpstr>Scenario 184</vt:lpstr>
      <vt:lpstr>Scenario 185</vt:lpstr>
      <vt:lpstr>Scenario 186</vt:lpstr>
      <vt:lpstr>Scenario 187</vt:lpstr>
      <vt:lpstr>Scenario 188</vt:lpstr>
      <vt:lpstr>Scenario 189</vt:lpstr>
      <vt:lpstr>Scenario 190</vt:lpstr>
      <vt:lpstr>Scenario 191</vt:lpstr>
      <vt:lpstr>Scenario 192</vt:lpstr>
      <vt:lpstr>Scenario 193</vt:lpstr>
      <vt:lpstr>Scenario 194</vt:lpstr>
      <vt:lpstr>Scenario 195</vt:lpstr>
      <vt:lpstr>Scenario 196</vt:lpstr>
      <vt:lpstr>Scenario 197</vt:lpstr>
      <vt:lpstr>Scenario 198</vt:lpstr>
      <vt:lpstr>Scenario 199</vt:lpstr>
      <vt:lpstr>Scenario 200</vt:lpstr>
      <vt:lpstr>Scenario 201</vt:lpstr>
      <vt:lpstr>Scenario 202</vt:lpstr>
      <vt:lpstr>Scenario 203</vt:lpstr>
      <vt:lpstr>Scenario 204</vt:lpstr>
      <vt:lpstr>Scenario 205</vt:lpstr>
      <vt:lpstr>Scenario 206</vt:lpstr>
      <vt:lpstr>Scenario 207</vt:lpstr>
      <vt:lpstr>Scenario 208</vt:lpstr>
      <vt:lpstr>Scenario 209</vt:lpstr>
      <vt:lpstr>Scenario 210</vt:lpstr>
      <vt:lpstr>Scenario 211</vt:lpstr>
      <vt:lpstr>Scenario 212</vt:lpstr>
      <vt:lpstr>Scenario 213</vt:lpstr>
      <vt:lpstr>Scenario 214</vt:lpstr>
      <vt:lpstr>Scenario 215</vt:lpstr>
      <vt:lpstr>Scenario 216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Anna Bershteyn</cp:lastModifiedBy>
  <dcterms:created xsi:type="dcterms:W3CDTF">2021-05-07T10:04:48Z</dcterms:created>
  <dcterms:modified xsi:type="dcterms:W3CDTF">2021-05-12T22:39:22Z</dcterms:modified>
</cp:coreProperties>
</file>